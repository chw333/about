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MOS Excel 2016\기본학습\01장\"/>
    </mc:Choice>
  </mc:AlternateContent>
  <bookViews>
    <workbookView xWindow="0" yWindow="0" windowWidth="15360" windowHeight="9165"/>
  </bookViews>
  <sheets>
    <sheet name="판매현황" sheetId="1" r:id="rId1"/>
    <sheet name="영업계획" sheetId="2" r:id="rId2"/>
  </sheets>
  <externalReferences>
    <externalReference r:id="rId3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C7" i="2"/>
  <c r="F4" i="2"/>
  <c r="C8" i="2"/>
  <c r="C9" i="2"/>
  <c r="C10" i="2"/>
  <c r="C11" i="2"/>
  <c r="F8" i="2" l="1"/>
  <c r="F9" i="2"/>
  <c r="F10" i="2"/>
  <c r="F11" i="2"/>
  <c r="F7" i="2"/>
  <c r="D12" i="2"/>
  <c r="C12" i="2"/>
  <c r="E11" i="2"/>
  <c r="E10" i="2"/>
  <c r="E9" i="2"/>
  <c r="E8" i="2"/>
  <c r="E7" i="2"/>
  <c r="E12" i="2" l="1"/>
  <c r="F12" i="2"/>
</calcChain>
</file>

<file path=xl/sharedStrings.xml><?xml version="1.0" encoding="utf-8"?>
<sst xmlns="http://schemas.openxmlformats.org/spreadsheetml/2006/main" count="414" uniqueCount="122">
  <si>
    <t>리올</t>
  </si>
  <si>
    <t>화이트닝 에센스</t>
  </si>
  <si>
    <t>브라이트닝 리치 로션</t>
  </si>
  <si>
    <t>미르쉘</t>
  </si>
  <si>
    <t>브라이트닝 세럼</t>
  </si>
  <si>
    <t>엘로이</t>
  </si>
  <si>
    <t>탤런트 브러쉬</t>
  </si>
  <si>
    <t>미스브론</t>
  </si>
  <si>
    <t>세크레드 비 아이크림</t>
  </si>
  <si>
    <t>배드갤 브라운</t>
  </si>
  <si>
    <t>다리아</t>
  </si>
  <si>
    <t>테크나콜 라이너</t>
  </si>
  <si>
    <t>포토제닉 파운데이션</t>
  </si>
  <si>
    <t>딥 모이스처 크림</t>
  </si>
  <si>
    <t>크리미 컨실러</t>
  </si>
  <si>
    <t>아트 라이너</t>
  </si>
  <si>
    <t>브라이트닝 로션</t>
  </si>
  <si>
    <t>압솔뤼 파우더</t>
  </si>
  <si>
    <t>단델리온</t>
  </si>
  <si>
    <t>모이스춰러쉬 아이크림</t>
  </si>
  <si>
    <t>프로텍티브 로션</t>
  </si>
  <si>
    <t>압솔뤼 프리미엄 클렌저</t>
  </si>
  <si>
    <t>틴티드 브라이트너</t>
  </si>
  <si>
    <t>하이드레이팅 젤 크림</t>
  </si>
  <si>
    <t>버츄어스 마스카라</t>
  </si>
  <si>
    <t>라나 백</t>
  </si>
  <si>
    <t>컬러피버 듀이 샤인</t>
  </si>
  <si>
    <t>스킨 서플리먼트</t>
  </si>
  <si>
    <t>뗑 미라클 파운데이션</t>
  </si>
  <si>
    <t>립스틱</t>
  </si>
  <si>
    <t>프렙 프라임 스킨</t>
  </si>
  <si>
    <t>배드갤 마스카라</t>
  </si>
  <si>
    <t>하이드라 에센스인 밀크</t>
  </si>
  <si>
    <t>모이스처러쉬 크림</t>
  </si>
  <si>
    <t>스타일 라이너</t>
  </si>
  <si>
    <t>스노우화이트 에멀젼</t>
  </si>
  <si>
    <t>립 펜슬</t>
  </si>
  <si>
    <t>어딕트 하이 샤인</t>
  </si>
  <si>
    <t>압솔뤼 나이트 에센스</t>
  </si>
  <si>
    <t>스노우화이트 로션</t>
  </si>
  <si>
    <t>셀디펜스 밀키로션</t>
  </si>
  <si>
    <t>포밍 크림 클렌저</t>
  </si>
  <si>
    <t>프렙 프라임 래쉬</t>
  </si>
  <si>
    <t>스킨플래쉬 하이라이터</t>
  </si>
  <si>
    <t>쥬이시 튜브</t>
  </si>
  <si>
    <t>듀얼 샤프너</t>
  </si>
  <si>
    <t>플루이드라인</t>
  </si>
  <si>
    <t>리올리쎄</t>
  </si>
  <si>
    <t>비파씰 아이 리무버</t>
  </si>
  <si>
    <t>크리미 립칼라</t>
  </si>
  <si>
    <t>압솔뤼 루즈</t>
  </si>
  <si>
    <t>엑스트라 아이 밤</t>
  </si>
  <si>
    <t>글리터 아이라이너</t>
  </si>
  <si>
    <t>베네틴트 립 밤</t>
  </si>
  <si>
    <t>닥터 필굿</t>
  </si>
  <si>
    <t>네일락커</t>
  </si>
  <si>
    <t>브라이트닝 모이스춰 크림</t>
  </si>
  <si>
    <t>훼이스 토닉</t>
  </si>
  <si>
    <t>크레용 콜 워터프루프</t>
  </si>
  <si>
    <t>비치 바디 로션</t>
  </si>
  <si>
    <t>컬러 디자인</t>
  </si>
  <si>
    <t>스킨 루스 파우더</t>
  </si>
  <si>
    <t>수퍼 모이스트 컴팩트</t>
  </si>
  <si>
    <t>프로컬 컬러</t>
  </si>
  <si>
    <t>세크레드 비 세럼</t>
  </si>
  <si>
    <t>하이드라 아이크림</t>
  </si>
  <si>
    <t>리올 베르니</t>
  </si>
  <si>
    <t>아이콘</t>
  </si>
  <si>
    <t>코랄리스타</t>
  </si>
  <si>
    <t>벨벳 아이섀도우</t>
  </si>
  <si>
    <t>에끌라 토너</t>
  </si>
  <si>
    <t>컬러피버 글로스</t>
  </si>
  <si>
    <t>리후레싱 스프레이</t>
  </si>
  <si>
    <t>모이스처 크림</t>
  </si>
  <si>
    <t>슈가밤</t>
  </si>
  <si>
    <t>프렙 프라임 아이</t>
  </si>
  <si>
    <t>하이드라 클렌징 폼</t>
  </si>
  <si>
    <t>하이드레이팅 아이 크림</t>
  </si>
  <si>
    <t>스킨부스팅 수퍼 에센스</t>
  </si>
  <si>
    <t>브로우 세트</t>
  </si>
  <si>
    <t>오일 컨트롤 로션</t>
  </si>
  <si>
    <t>캡춰 링클 세럼</t>
  </si>
  <si>
    <t>미네랄 파운데이션</t>
  </si>
  <si>
    <t>죠지아</t>
  </si>
  <si>
    <t>에파쎄르</t>
  </si>
  <si>
    <t>스킨누드 플루이드 파운데이션</t>
  </si>
  <si>
    <t>압솔뤼 크렘드 브릴런스</t>
  </si>
  <si>
    <t>제니피끄 에센스</t>
  </si>
  <si>
    <t>우먼 시킹 토너</t>
  </si>
  <si>
    <t>스킨 프레스드 파우더</t>
  </si>
  <si>
    <t>젠틀리 오프 리무버</t>
  </si>
  <si>
    <t>이레이즈페이스트</t>
  </si>
  <si>
    <t>쉬머 블러쉬</t>
  </si>
  <si>
    <t>풀 래쉬 컬러</t>
  </si>
  <si>
    <t>스파클 아이섀도우</t>
  </si>
  <si>
    <t>마끼 루즈 파우더</t>
  </si>
  <si>
    <t>아이 리무버</t>
  </si>
  <si>
    <t>인스턴트 클렌징 오일</t>
  </si>
  <si>
    <t>스트롭 크림</t>
  </si>
  <si>
    <t>거래처</t>
  </si>
  <si>
    <t>상품명</t>
  </si>
  <si>
    <t>단가</t>
  </si>
  <si>
    <t>수량</t>
  </si>
  <si>
    <t>할인율</t>
  </si>
  <si>
    <t>하이드레이팅 아이크림</t>
  </si>
  <si>
    <t>거래일자</t>
  </si>
  <si>
    <t>금액의 총합계 :</t>
    <phoneticPr fontId="2" type="noConversion"/>
  </si>
  <si>
    <t>판매현황</t>
    <phoneticPr fontId="2" type="noConversion"/>
  </si>
  <si>
    <t>예상 성장률</t>
    <phoneticPr fontId="6" type="noConversion"/>
  </si>
  <si>
    <t>성장률</t>
    <phoneticPr fontId="6" type="noConversion"/>
  </si>
  <si>
    <t>매출합계</t>
    <phoneticPr fontId="6" type="noConversion"/>
  </si>
  <si>
    <t>2019년도 영업계획</t>
    <phoneticPr fontId="2" type="noConversion"/>
  </si>
  <si>
    <t>리올</t>
    <phoneticPr fontId="2" type="noConversion"/>
  </si>
  <si>
    <t>미르쉘</t>
    <phoneticPr fontId="2" type="noConversion"/>
  </si>
  <si>
    <t>엘로이</t>
    <phoneticPr fontId="2" type="noConversion"/>
  </si>
  <si>
    <t>미스브론</t>
    <phoneticPr fontId="2" type="noConversion"/>
  </si>
  <si>
    <t>다리아</t>
    <phoneticPr fontId="2" type="noConversion"/>
  </si>
  <si>
    <t>거래처</t>
    <phoneticPr fontId="6" type="noConversion"/>
  </si>
  <si>
    <t>2017년</t>
    <phoneticPr fontId="6" type="noConversion"/>
  </si>
  <si>
    <t>2018년</t>
    <phoneticPr fontId="2" type="noConversion"/>
  </si>
  <si>
    <t>2019년 계획</t>
    <phoneticPr fontId="6" type="noConversion"/>
  </si>
  <si>
    <t>금액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</si>
</sst>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#,##0_ "/>
  </numFmts>
  <fonts count="10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1" fillId="0" borderId="0" xfId="0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0" fontId="1" fillId="0" borderId="0" xfId="0" applyFont="1" applyFill="1" applyAlignment="1">
      <alignment horizontal="center" vertical="center"/>
    </xf>
    <xf numFmtId="176" fontId="0" fillId="0" borderId="0" xfId="0" applyNumberFormat="1">
      <alignment vertical="center"/>
    </xf>
    <xf numFmtId="9" fontId="0" fillId="0" borderId="0" xfId="1" applyFont="1">
      <alignment vertical="center"/>
    </xf>
    <xf numFmtId="14" fontId="0" fillId="0" borderId="0" xfId="0" applyNumberFormat="1" applyAlignment="1">
      <alignment horizontal="center" vertical="center"/>
    </xf>
    <xf numFmtId="0" fontId="1" fillId="0" borderId="0" xfId="0" applyFont="1">
      <alignment vertical="center"/>
    </xf>
    <xf numFmtId="176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2" borderId="1" xfId="0" applyFont="1" applyFill="1" applyBorder="1" applyAlignment="1">
      <alignment horizontal="center" vertical="center"/>
    </xf>
    <xf numFmtId="9" fontId="4" fillId="0" borderId="1" xfId="0" applyNumberFormat="1" applyFont="1" applyBorder="1" applyAlignment="1">
      <alignment horizontal="right" vertical="center"/>
    </xf>
    <xf numFmtId="41" fontId="7" fillId="2" borderId="1" xfId="2" applyFont="1" applyFill="1" applyBorder="1">
      <alignment vertical="center"/>
    </xf>
    <xf numFmtId="9" fontId="7" fillId="2" borderId="1" xfId="1" applyFont="1" applyFill="1" applyBorder="1">
      <alignment vertical="center"/>
    </xf>
    <xf numFmtId="0" fontId="7" fillId="3" borderId="1" xfId="0" applyFont="1" applyFill="1" applyBorder="1" applyAlignment="1">
      <alignment horizontal="center" vertical="center"/>
    </xf>
    <xf numFmtId="41" fontId="7" fillId="3" borderId="1" xfId="2" applyFont="1" applyFill="1" applyBorder="1">
      <alignment vertical="center"/>
    </xf>
    <xf numFmtId="9" fontId="7" fillId="3" borderId="1" xfId="1" applyFont="1" applyFill="1" applyBorder="1">
      <alignment vertical="center"/>
    </xf>
    <xf numFmtId="0" fontId="9" fillId="0" borderId="0" xfId="0" applyFont="1">
      <alignment vertical="center"/>
    </xf>
    <xf numFmtId="0" fontId="8" fillId="0" borderId="0" xfId="0" applyFont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5">
    <dxf>
      <numFmt numFmtId="0" formatCode="General"/>
    </dxf>
    <dxf>
      <numFmt numFmtId="176" formatCode="#,##0_ "/>
    </dxf>
    <dxf>
      <numFmt numFmtId="30" formatCode="@"/>
    </dxf>
    <dxf>
      <numFmt numFmtId="19" formatCode="yyyy/mm/dd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018&#45380;&#46020;_&#50689;&#50629;&#44228;&#54925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영업계획"/>
    </sheetNames>
    <sheetDataSet>
      <sheetData sheetId="0">
        <row r="4">
          <cell r="F4">
            <v>0.1</v>
          </cell>
        </row>
        <row r="7">
          <cell r="D7">
            <v>772200</v>
          </cell>
        </row>
        <row r="8">
          <cell r="D8">
            <v>628650</v>
          </cell>
        </row>
        <row r="9">
          <cell r="D9">
            <v>1527695</v>
          </cell>
        </row>
        <row r="10">
          <cell r="D10">
            <v>4498750</v>
          </cell>
        </row>
        <row r="11">
          <cell r="D11">
            <v>6667100</v>
          </cell>
        </row>
      </sheetData>
    </sheetDataSet>
  </externalBook>
</externalLink>
</file>

<file path=xl/tables/table1.xml><?xml version="1.0" encoding="utf-8"?>
<table xmlns="http://schemas.openxmlformats.org/spreadsheetml/2006/main" id="1" name="표1" displayName="표1" ref="B5:H201" totalsRowShown="0" headerRowDxfId="4">
  <autoFilter ref="B5:H201"/>
  <tableColumns count="7">
    <tableColumn id="5" name="거래일자" dataDxfId="3"/>
    <tableColumn id="2" name="거래처"/>
    <tableColumn id="6" name="상품명" dataDxfId="2"/>
    <tableColumn id="3" name="단가" dataDxfId="1"/>
    <tableColumn id="4" name="수량"/>
    <tableColumn id="7" name="할인율" dataCellStyle="백분율"/>
    <tableColumn id="1" name="금액" dataDxfId="0">
      <calculatedColumnFormula>표1[단가]*표1[수량]*(1-표1[할인율])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201"/>
  <sheetViews>
    <sheetView tabSelected="1" workbookViewId="0">
      <selection activeCell="H3" sqref="H3"/>
    </sheetView>
  </sheetViews>
  <sheetFormatPr defaultRowHeight="16.5"/>
  <cols>
    <col min="1" max="1" width="1.625" customWidth="1"/>
    <col min="2" max="2" width="13.125" customWidth="1"/>
    <col min="3" max="3" width="11.375" bestFit="1" customWidth="1"/>
    <col min="4" max="4" width="25.25" customWidth="1"/>
    <col min="5" max="5" width="12.5" customWidth="1"/>
    <col min="6" max="6" width="9.5" customWidth="1"/>
    <col min="7" max="7" width="11.75" customWidth="1"/>
    <col min="8" max="8" width="12.625" bestFit="1" customWidth="1"/>
  </cols>
  <sheetData>
    <row r="2" spans="2:8" ht="26.25">
      <c r="B2" s="17" t="s">
        <v>107</v>
      </c>
    </row>
    <row r="3" spans="2:8" ht="23.25" customHeight="1">
      <c r="F3" s="7" t="s">
        <v>106</v>
      </c>
      <c r="G3" s="8"/>
      <c r="H3" s="8">
        <f>SUM(표1[금액])</f>
        <v>40033190</v>
      </c>
    </row>
    <row r="5" spans="2:8">
      <c r="B5" s="1" t="s">
        <v>105</v>
      </c>
      <c r="C5" s="1" t="s">
        <v>99</v>
      </c>
      <c r="D5" s="1" t="s">
        <v>100</v>
      </c>
      <c r="E5" s="1" t="s">
        <v>101</v>
      </c>
      <c r="F5" s="1" t="s">
        <v>102</v>
      </c>
      <c r="G5" s="3" t="s">
        <v>103</v>
      </c>
      <c r="H5" s="3" t="s">
        <v>121</v>
      </c>
    </row>
    <row r="6" spans="2:8">
      <c r="B6" s="6">
        <v>43101</v>
      </c>
      <c r="C6" s="2" t="s">
        <v>0</v>
      </c>
      <c r="D6" s="2" t="s">
        <v>1</v>
      </c>
      <c r="E6" s="4">
        <v>310000</v>
      </c>
      <c r="F6">
        <v>4</v>
      </c>
      <c r="G6" s="5">
        <v>0</v>
      </c>
      <c r="H6">
        <f>표1[단가]*표1[수량]*(1-표1[할인율])</f>
        <v>1240000</v>
      </c>
    </row>
    <row r="7" spans="2:8">
      <c r="B7" s="6">
        <v>43101</v>
      </c>
      <c r="C7" s="2" t="s">
        <v>0</v>
      </c>
      <c r="D7" s="2" t="s">
        <v>2</v>
      </c>
      <c r="E7" s="4">
        <v>89000</v>
      </c>
      <c r="F7">
        <v>6</v>
      </c>
      <c r="G7" s="5">
        <v>0</v>
      </c>
      <c r="H7">
        <f>표1[단가]*표1[수량]*(1-표1[할인율])</f>
        <v>534000</v>
      </c>
    </row>
    <row r="8" spans="2:8">
      <c r="B8" s="6">
        <v>43101</v>
      </c>
      <c r="C8" s="2" t="s">
        <v>3</v>
      </c>
      <c r="D8" s="2" t="s">
        <v>104</v>
      </c>
      <c r="E8" s="4">
        <v>50000</v>
      </c>
      <c r="F8">
        <v>1</v>
      </c>
      <c r="G8" s="5">
        <v>0</v>
      </c>
      <c r="H8">
        <f>표1[단가]*표1[수량]*(1-표1[할인율])</f>
        <v>50000</v>
      </c>
    </row>
    <row r="9" spans="2:8">
      <c r="B9" s="6">
        <v>43101</v>
      </c>
      <c r="C9" s="2" t="s">
        <v>0</v>
      </c>
      <c r="D9" s="2" t="s">
        <v>1</v>
      </c>
      <c r="E9" s="4">
        <v>310000</v>
      </c>
      <c r="F9">
        <v>6</v>
      </c>
      <c r="G9" s="5">
        <v>0</v>
      </c>
      <c r="H9">
        <f>표1[단가]*표1[수량]*(1-표1[할인율])</f>
        <v>1860000</v>
      </c>
    </row>
    <row r="10" spans="2:8">
      <c r="B10" s="6">
        <v>43101</v>
      </c>
      <c r="C10" s="2" t="s">
        <v>3</v>
      </c>
      <c r="D10" s="2" t="s">
        <v>4</v>
      </c>
      <c r="E10" s="4">
        <v>130000</v>
      </c>
      <c r="F10">
        <v>4</v>
      </c>
      <c r="G10" s="5">
        <v>0</v>
      </c>
      <c r="H10">
        <f>표1[단가]*표1[수량]*(1-표1[할인율])</f>
        <v>520000</v>
      </c>
    </row>
    <row r="11" spans="2:8">
      <c r="B11" s="6">
        <v>43101</v>
      </c>
      <c r="C11" s="2" t="s">
        <v>5</v>
      </c>
      <c r="D11" s="2" t="s">
        <v>6</v>
      </c>
      <c r="E11" s="4">
        <v>26500</v>
      </c>
      <c r="F11">
        <v>2</v>
      </c>
      <c r="G11" s="5">
        <v>0</v>
      </c>
      <c r="H11">
        <f>표1[단가]*표1[수량]*(1-표1[할인율])</f>
        <v>53000</v>
      </c>
    </row>
    <row r="12" spans="2:8">
      <c r="B12" s="6">
        <v>43101</v>
      </c>
      <c r="C12" s="2" t="s">
        <v>7</v>
      </c>
      <c r="D12" s="2" t="s">
        <v>8</v>
      </c>
      <c r="E12" s="4">
        <v>210000</v>
      </c>
      <c r="F12">
        <v>2</v>
      </c>
      <c r="G12" s="5">
        <v>0</v>
      </c>
      <c r="H12">
        <f>표1[단가]*표1[수량]*(1-표1[할인율])</f>
        <v>420000</v>
      </c>
    </row>
    <row r="13" spans="2:8">
      <c r="B13" s="6">
        <v>43101</v>
      </c>
      <c r="C13" s="2" t="s">
        <v>5</v>
      </c>
      <c r="D13" s="2" t="s">
        <v>9</v>
      </c>
      <c r="E13" s="4">
        <v>30000</v>
      </c>
      <c r="F13">
        <v>5</v>
      </c>
      <c r="G13" s="5">
        <v>0.06</v>
      </c>
      <c r="H13">
        <f>표1[단가]*표1[수량]*(1-표1[할인율])</f>
        <v>141000</v>
      </c>
    </row>
    <row r="14" spans="2:8">
      <c r="B14" s="6">
        <v>43101</v>
      </c>
      <c r="C14" s="2" t="s">
        <v>0</v>
      </c>
      <c r="D14" s="2" t="s">
        <v>2</v>
      </c>
      <c r="E14" s="4">
        <v>92000</v>
      </c>
      <c r="F14">
        <v>4</v>
      </c>
      <c r="G14" s="5">
        <v>0.04</v>
      </c>
      <c r="H14">
        <f>표1[단가]*표1[수량]*(1-표1[할인율])</f>
        <v>353280</v>
      </c>
    </row>
    <row r="15" spans="2:8">
      <c r="B15" s="6">
        <v>43101</v>
      </c>
      <c r="C15" s="2" t="s">
        <v>10</v>
      </c>
      <c r="D15" s="2" t="s">
        <v>11</v>
      </c>
      <c r="E15" s="4">
        <v>24000</v>
      </c>
      <c r="F15">
        <v>3</v>
      </c>
      <c r="G15" s="5">
        <v>0.05</v>
      </c>
      <c r="H15">
        <f>표1[단가]*표1[수량]*(1-표1[할인율])</f>
        <v>68400</v>
      </c>
    </row>
    <row r="16" spans="2:8">
      <c r="B16" s="6">
        <v>43101</v>
      </c>
      <c r="C16" s="2" t="s">
        <v>7</v>
      </c>
      <c r="D16" s="2" t="s">
        <v>12</v>
      </c>
      <c r="E16" s="4">
        <v>65000</v>
      </c>
      <c r="F16">
        <v>5</v>
      </c>
      <c r="G16" s="5">
        <v>0.05</v>
      </c>
      <c r="H16">
        <f>표1[단가]*표1[수량]*(1-표1[할인율])</f>
        <v>308750</v>
      </c>
    </row>
    <row r="17" spans="2:8">
      <c r="B17" s="6">
        <v>43101</v>
      </c>
      <c r="C17" s="2" t="s">
        <v>5</v>
      </c>
      <c r="D17" s="2" t="s">
        <v>6</v>
      </c>
      <c r="E17" s="4">
        <v>28000</v>
      </c>
      <c r="F17">
        <v>3</v>
      </c>
      <c r="G17" s="5">
        <v>0.06</v>
      </c>
      <c r="H17">
        <f>표1[단가]*표1[수량]*(1-표1[할인율])</f>
        <v>78960</v>
      </c>
    </row>
    <row r="18" spans="2:8">
      <c r="B18" s="6">
        <v>43101</v>
      </c>
      <c r="C18" s="2" t="s">
        <v>10</v>
      </c>
      <c r="D18" s="2" t="s">
        <v>13</v>
      </c>
      <c r="E18" s="4">
        <v>52000</v>
      </c>
      <c r="F18">
        <v>2</v>
      </c>
      <c r="G18" s="5">
        <v>0.05</v>
      </c>
      <c r="H18">
        <f>표1[단가]*표1[수량]*(1-표1[할인율])</f>
        <v>98800</v>
      </c>
    </row>
    <row r="19" spans="2:8">
      <c r="B19" s="6">
        <v>43101</v>
      </c>
      <c r="C19" s="2" t="s">
        <v>3</v>
      </c>
      <c r="D19" s="2" t="s">
        <v>14</v>
      </c>
      <c r="E19" s="4">
        <v>30000</v>
      </c>
      <c r="F19">
        <v>2</v>
      </c>
      <c r="G19" s="5">
        <v>0</v>
      </c>
      <c r="H19">
        <f>표1[단가]*표1[수량]*(1-표1[할인율])</f>
        <v>60000</v>
      </c>
    </row>
    <row r="20" spans="2:8">
      <c r="B20" s="6">
        <v>43102</v>
      </c>
      <c r="C20" s="2" t="s">
        <v>7</v>
      </c>
      <c r="D20" s="2" t="s">
        <v>15</v>
      </c>
      <c r="E20" s="4">
        <v>35000</v>
      </c>
      <c r="F20">
        <v>4</v>
      </c>
      <c r="G20" s="5">
        <v>0.05</v>
      </c>
      <c r="H20">
        <f>표1[단가]*표1[수량]*(1-표1[할인율])</f>
        <v>133000</v>
      </c>
    </row>
    <row r="21" spans="2:8">
      <c r="B21" s="6">
        <v>43102</v>
      </c>
      <c r="C21" s="2" t="s">
        <v>3</v>
      </c>
      <c r="D21" s="2" t="s">
        <v>16</v>
      </c>
      <c r="E21" s="4">
        <v>55000</v>
      </c>
      <c r="F21">
        <v>2</v>
      </c>
      <c r="G21" s="5">
        <v>7.0000000000000007E-2</v>
      </c>
      <c r="H21">
        <f>표1[단가]*표1[수량]*(1-표1[할인율])</f>
        <v>102300</v>
      </c>
    </row>
    <row r="22" spans="2:8">
      <c r="B22" s="6">
        <v>43102</v>
      </c>
      <c r="C22" s="2" t="s">
        <v>7</v>
      </c>
      <c r="D22" s="2" t="s">
        <v>17</v>
      </c>
      <c r="E22" s="4">
        <v>68000</v>
      </c>
      <c r="F22">
        <v>5</v>
      </c>
      <c r="G22" s="5">
        <v>0.05</v>
      </c>
      <c r="H22">
        <f>표1[단가]*표1[수량]*(1-표1[할인율])</f>
        <v>323000</v>
      </c>
    </row>
    <row r="23" spans="2:8">
      <c r="B23" s="6">
        <v>43102</v>
      </c>
      <c r="C23" s="2" t="s">
        <v>5</v>
      </c>
      <c r="D23" s="2" t="s">
        <v>18</v>
      </c>
      <c r="E23" s="4">
        <v>42000</v>
      </c>
      <c r="F23">
        <v>3</v>
      </c>
      <c r="G23" s="5">
        <v>0.06</v>
      </c>
      <c r="H23">
        <f>표1[단가]*표1[수량]*(1-표1[할인율])</f>
        <v>118440</v>
      </c>
    </row>
    <row r="24" spans="2:8">
      <c r="B24" s="6">
        <v>43102</v>
      </c>
      <c r="C24" s="2" t="s">
        <v>10</v>
      </c>
      <c r="D24" s="2" t="s">
        <v>19</v>
      </c>
      <c r="E24" s="4">
        <v>44000</v>
      </c>
      <c r="F24">
        <v>2</v>
      </c>
      <c r="G24" s="5">
        <v>0</v>
      </c>
      <c r="H24">
        <f>표1[단가]*표1[수량]*(1-표1[할인율])</f>
        <v>88000</v>
      </c>
    </row>
    <row r="25" spans="2:8">
      <c r="B25" s="6">
        <v>43102</v>
      </c>
      <c r="C25" s="2" t="s">
        <v>3</v>
      </c>
      <c r="D25" s="2" t="s">
        <v>20</v>
      </c>
      <c r="E25" s="4">
        <v>45000</v>
      </c>
      <c r="F25">
        <v>4</v>
      </c>
      <c r="G25" s="5">
        <v>0</v>
      </c>
      <c r="H25">
        <f>표1[단가]*표1[수량]*(1-표1[할인율])</f>
        <v>180000</v>
      </c>
    </row>
    <row r="26" spans="2:8">
      <c r="B26" s="6">
        <v>43102</v>
      </c>
      <c r="C26" s="2" t="s">
        <v>7</v>
      </c>
      <c r="D26" s="2" t="s">
        <v>21</v>
      </c>
      <c r="E26" s="4">
        <v>92000</v>
      </c>
      <c r="F26">
        <v>3</v>
      </c>
      <c r="G26" s="5">
        <v>0.05</v>
      </c>
      <c r="H26">
        <f>표1[단가]*표1[수량]*(1-표1[할인율])</f>
        <v>262200</v>
      </c>
    </row>
    <row r="27" spans="2:8">
      <c r="B27" s="6">
        <v>43102</v>
      </c>
      <c r="C27" s="2" t="s">
        <v>3</v>
      </c>
      <c r="D27" s="2" t="s">
        <v>22</v>
      </c>
      <c r="E27" s="4">
        <v>38000</v>
      </c>
      <c r="F27">
        <v>4</v>
      </c>
      <c r="G27" s="5">
        <v>7.0000000000000007E-2</v>
      </c>
      <c r="H27">
        <f>표1[단가]*표1[수량]*(1-표1[할인율])</f>
        <v>141360</v>
      </c>
    </row>
    <row r="28" spans="2:8">
      <c r="B28" s="6">
        <v>43103</v>
      </c>
      <c r="C28" s="2" t="s">
        <v>3</v>
      </c>
      <c r="D28" s="2" t="s">
        <v>16</v>
      </c>
      <c r="E28" s="4">
        <v>55000</v>
      </c>
      <c r="F28">
        <v>4</v>
      </c>
      <c r="G28" s="5">
        <v>7.0000000000000007E-2</v>
      </c>
      <c r="H28">
        <f>표1[단가]*표1[수량]*(1-표1[할인율])</f>
        <v>204600</v>
      </c>
    </row>
    <row r="29" spans="2:8">
      <c r="B29" s="6">
        <v>43103</v>
      </c>
      <c r="C29" s="2" t="s">
        <v>7</v>
      </c>
      <c r="D29" s="2" t="s">
        <v>15</v>
      </c>
      <c r="E29" s="4">
        <v>34000</v>
      </c>
      <c r="F29">
        <v>7</v>
      </c>
      <c r="G29" s="5">
        <v>0</v>
      </c>
      <c r="H29">
        <f>표1[단가]*표1[수량]*(1-표1[할인율])</f>
        <v>238000</v>
      </c>
    </row>
    <row r="30" spans="2:8">
      <c r="B30" s="6">
        <v>43103</v>
      </c>
      <c r="C30" s="2" t="s">
        <v>3</v>
      </c>
      <c r="D30" s="2" t="s">
        <v>23</v>
      </c>
      <c r="E30" s="4">
        <v>74000</v>
      </c>
      <c r="F30">
        <v>3</v>
      </c>
      <c r="G30" s="5">
        <v>0</v>
      </c>
      <c r="H30">
        <f>표1[단가]*표1[수량]*(1-표1[할인율])</f>
        <v>222000</v>
      </c>
    </row>
    <row r="31" spans="2:8">
      <c r="B31" s="6">
        <v>43103</v>
      </c>
      <c r="C31" s="2" t="s">
        <v>7</v>
      </c>
      <c r="D31" s="2" t="s">
        <v>24</v>
      </c>
      <c r="E31" s="4">
        <v>35000</v>
      </c>
      <c r="F31">
        <v>5</v>
      </c>
      <c r="G31" s="5">
        <v>0</v>
      </c>
      <c r="H31">
        <f>표1[단가]*표1[수량]*(1-표1[할인율])</f>
        <v>175000</v>
      </c>
    </row>
    <row r="32" spans="2:8">
      <c r="B32" s="6">
        <v>43103</v>
      </c>
      <c r="C32" s="2" t="s">
        <v>5</v>
      </c>
      <c r="D32" s="2" t="s">
        <v>25</v>
      </c>
      <c r="E32" s="4">
        <v>54000</v>
      </c>
      <c r="F32">
        <v>6</v>
      </c>
      <c r="G32" s="5">
        <v>0.06</v>
      </c>
      <c r="H32">
        <f>표1[단가]*표1[수량]*(1-표1[할인율])</f>
        <v>304560</v>
      </c>
    </row>
    <row r="33" spans="2:8">
      <c r="B33" s="6">
        <v>43103</v>
      </c>
      <c r="C33" s="2" t="s">
        <v>7</v>
      </c>
      <c r="D33" s="2" t="s">
        <v>26</v>
      </c>
      <c r="E33" s="4">
        <v>36000</v>
      </c>
      <c r="F33">
        <v>2</v>
      </c>
      <c r="G33" s="5">
        <v>0.05</v>
      </c>
      <c r="H33">
        <f>표1[단가]*표1[수량]*(1-표1[할인율])</f>
        <v>68400</v>
      </c>
    </row>
    <row r="34" spans="2:8">
      <c r="B34" s="6">
        <v>43104</v>
      </c>
      <c r="C34" s="2" t="s">
        <v>3</v>
      </c>
      <c r="D34" s="2" t="s">
        <v>4</v>
      </c>
      <c r="E34" s="4">
        <v>130000</v>
      </c>
      <c r="F34">
        <v>4</v>
      </c>
      <c r="G34" s="5">
        <v>0</v>
      </c>
      <c r="H34">
        <f>표1[단가]*표1[수량]*(1-표1[할인율])</f>
        <v>520000</v>
      </c>
    </row>
    <row r="35" spans="2:8">
      <c r="B35" s="6">
        <v>43104</v>
      </c>
      <c r="C35" s="2" t="s">
        <v>3</v>
      </c>
      <c r="D35" s="2" t="s">
        <v>20</v>
      </c>
      <c r="E35" s="4">
        <v>45000</v>
      </c>
      <c r="F35">
        <v>3</v>
      </c>
      <c r="G35" s="5">
        <v>0</v>
      </c>
      <c r="H35">
        <f>표1[단가]*표1[수량]*(1-표1[할인율])</f>
        <v>135000</v>
      </c>
    </row>
    <row r="36" spans="2:8">
      <c r="B36" s="6">
        <v>43104</v>
      </c>
      <c r="C36" s="2" t="s">
        <v>3</v>
      </c>
      <c r="D36" s="2" t="s">
        <v>27</v>
      </c>
      <c r="E36" s="4">
        <v>102000</v>
      </c>
      <c r="F36">
        <v>4</v>
      </c>
      <c r="G36" s="5">
        <v>7.0000000000000007E-2</v>
      </c>
      <c r="H36">
        <f>표1[단가]*표1[수량]*(1-표1[할인율])</f>
        <v>379440</v>
      </c>
    </row>
    <row r="37" spans="2:8">
      <c r="B37" s="6">
        <v>43104</v>
      </c>
      <c r="C37" s="2" t="s">
        <v>7</v>
      </c>
      <c r="D37" s="2" t="s">
        <v>28</v>
      </c>
      <c r="E37" s="4">
        <v>62000</v>
      </c>
      <c r="F37">
        <v>2</v>
      </c>
      <c r="G37" s="5">
        <v>0.05</v>
      </c>
      <c r="H37">
        <f>표1[단가]*표1[수량]*(1-표1[할인율])</f>
        <v>117800</v>
      </c>
    </row>
    <row r="38" spans="2:8">
      <c r="B38" s="6">
        <v>43104</v>
      </c>
      <c r="C38" s="2" t="s">
        <v>3</v>
      </c>
      <c r="D38" s="2" t="s">
        <v>27</v>
      </c>
      <c r="E38" s="4">
        <v>102000</v>
      </c>
      <c r="F38">
        <v>2</v>
      </c>
      <c r="G38" s="5">
        <v>7.0000000000000007E-2</v>
      </c>
      <c r="H38">
        <f>표1[단가]*표1[수량]*(1-표1[할인율])</f>
        <v>189720</v>
      </c>
    </row>
    <row r="39" spans="2:8">
      <c r="B39" s="6">
        <v>43104</v>
      </c>
      <c r="C39" s="2" t="s">
        <v>10</v>
      </c>
      <c r="D39" s="2" t="s">
        <v>29</v>
      </c>
      <c r="E39" s="4">
        <v>25000</v>
      </c>
      <c r="F39">
        <v>3</v>
      </c>
      <c r="G39" s="5">
        <v>0.05</v>
      </c>
      <c r="H39">
        <f>표1[단가]*표1[수량]*(1-표1[할인율])</f>
        <v>71250</v>
      </c>
    </row>
    <row r="40" spans="2:8">
      <c r="B40" s="6">
        <v>43104</v>
      </c>
      <c r="C40" s="2" t="s">
        <v>10</v>
      </c>
      <c r="D40" s="2" t="s">
        <v>30</v>
      </c>
      <c r="E40" s="4">
        <v>41000</v>
      </c>
      <c r="F40">
        <v>2</v>
      </c>
      <c r="G40" s="5">
        <v>0.05</v>
      </c>
      <c r="H40">
        <f>표1[단가]*표1[수량]*(1-표1[할인율])</f>
        <v>77900</v>
      </c>
    </row>
    <row r="41" spans="2:8">
      <c r="B41" s="6">
        <v>43104</v>
      </c>
      <c r="C41" s="2" t="s">
        <v>5</v>
      </c>
      <c r="D41" s="2" t="s">
        <v>31</v>
      </c>
      <c r="E41" s="4">
        <v>25500</v>
      </c>
      <c r="F41">
        <v>1</v>
      </c>
      <c r="G41" s="5">
        <v>0</v>
      </c>
      <c r="H41">
        <f>표1[단가]*표1[수량]*(1-표1[할인율])</f>
        <v>25500</v>
      </c>
    </row>
    <row r="42" spans="2:8">
      <c r="B42" s="6">
        <v>43104</v>
      </c>
      <c r="C42" s="2" t="s">
        <v>0</v>
      </c>
      <c r="D42" s="2" t="s">
        <v>32</v>
      </c>
      <c r="E42" s="4">
        <v>89000</v>
      </c>
      <c r="F42">
        <v>3</v>
      </c>
      <c r="G42" s="5">
        <v>0.04</v>
      </c>
      <c r="H42">
        <f>표1[단가]*표1[수량]*(1-표1[할인율])</f>
        <v>256320</v>
      </c>
    </row>
    <row r="43" spans="2:8">
      <c r="B43" s="6">
        <v>43104</v>
      </c>
      <c r="C43" s="2" t="s">
        <v>10</v>
      </c>
      <c r="D43" s="2" t="s">
        <v>33</v>
      </c>
      <c r="E43" s="4">
        <v>49000</v>
      </c>
      <c r="F43">
        <v>4</v>
      </c>
      <c r="G43" s="5">
        <v>0.05</v>
      </c>
      <c r="H43">
        <f>표1[단가]*표1[수량]*(1-표1[할인율])</f>
        <v>186200</v>
      </c>
    </row>
    <row r="44" spans="2:8">
      <c r="B44" s="6">
        <v>43105</v>
      </c>
      <c r="C44" s="2" t="s">
        <v>0</v>
      </c>
      <c r="D44" s="2" t="s">
        <v>34</v>
      </c>
      <c r="E44" s="4">
        <v>39000</v>
      </c>
      <c r="F44">
        <v>5</v>
      </c>
      <c r="G44" s="5">
        <v>0.04</v>
      </c>
      <c r="H44">
        <f>표1[단가]*표1[수량]*(1-표1[할인율])</f>
        <v>187200</v>
      </c>
    </row>
    <row r="45" spans="2:8">
      <c r="B45" s="6">
        <v>43105</v>
      </c>
      <c r="C45" s="2" t="s">
        <v>0</v>
      </c>
      <c r="D45" s="2" t="s">
        <v>35</v>
      </c>
      <c r="E45" s="4">
        <v>98000</v>
      </c>
      <c r="F45">
        <v>2</v>
      </c>
      <c r="G45" s="5">
        <v>0.04</v>
      </c>
      <c r="H45">
        <f>표1[단가]*표1[수량]*(1-표1[할인율])</f>
        <v>188160</v>
      </c>
    </row>
    <row r="46" spans="2:8">
      <c r="B46" s="6">
        <v>43105</v>
      </c>
      <c r="C46" s="2" t="s">
        <v>10</v>
      </c>
      <c r="D46" s="2" t="s">
        <v>36</v>
      </c>
      <c r="E46" s="4">
        <v>15000</v>
      </c>
      <c r="F46">
        <v>2</v>
      </c>
      <c r="G46" s="5">
        <v>0</v>
      </c>
      <c r="H46">
        <f>표1[단가]*표1[수량]*(1-표1[할인율])</f>
        <v>30000</v>
      </c>
    </row>
    <row r="47" spans="2:8">
      <c r="B47" s="6">
        <v>43105</v>
      </c>
      <c r="C47" s="2" t="s">
        <v>0</v>
      </c>
      <c r="D47" s="2" t="s">
        <v>37</v>
      </c>
      <c r="E47" s="4">
        <v>35500</v>
      </c>
      <c r="F47">
        <v>3</v>
      </c>
      <c r="G47" s="5">
        <v>0</v>
      </c>
      <c r="H47">
        <f>표1[단가]*표1[수량]*(1-표1[할인율])</f>
        <v>106500</v>
      </c>
    </row>
    <row r="48" spans="2:8">
      <c r="B48" s="6">
        <v>43105</v>
      </c>
      <c r="C48" s="2" t="s">
        <v>7</v>
      </c>
      <c r="D48" s="2" t="s">
        <v>38</v>
      </c>
      <c r="E48" s="4">
        <v>240000</v>
      </c>
      <c r="F48">
        <v>1</v>
      </c>
      <c r="G48" s="5">
        <v>0</v>
      </c>
      <c r="H48">
        <f>표1[단가]*표1[수량]*(1-표1[할인율])</f>
        <v>240000</v>
      </c>
    </row>
    <row r="49" spans="2:8">
      <c r="B49" s="6">
        <v>43105</v>
      </c>
      <c r="C49" s="2" t="s">
        <v>0</v>
      </c>
      <c r="D49" s="2" t="s">
        <v>39</v>
      </c>
      <c r="E49" s="4">
        <v>54000</v>
      </c>
      <c r="F49">
        <v>1</v>
      </c>
      <c r="G49" s="5">
        <v>0</v>
      </c>
      <c r="H49">
        <f>표1[단가]*표1[수량]*(1-표1[할인율])</f>
        <v>54000</v>
      </c>
    </row>
    <row r="50" spans="2:8">
      <c r="B50" s="6">
        <v>43105</v>
      </c>
      <c r="C50" s="2" t="s">
        <v>7</v>
      </c>
      <c r="D50" s="2" t="s">
        <v>40</v>
      </c>
      <c r="E50" s="4">
        <v>75000</v>
      </c>
      <c r="F50">
        <v>3</v>
      </c>
      <c r="G50" s="5">
        <v>0.05</v>
      </c>
      <c r="H50">
        <f>표1[단가]*표1[수량]*(1-표1[할인율])</f>
        <v>213750</v>
      </c>
    </row>
    <row r="51" spans="2:8">
      <c r="B51" s="6">
        <v>43105</v>
      </c>
      <c r="C51" s="2" t="s">
        <v>5</v>
      </c>
      <c r="D51" s="2" t="s">
        <v>25</v>
      </c>
      <c r="E51" s="4">
        <v>54000</v>
      </c>
      <c r="F51">
        <v>2</v>
      </c>
      <c r="G51" s="5">
        <v>0.06</v>
      </c>
      <c r="H51">
        <f>표1[단가]*표1[수량]*(1-표1[할인율])</f>
        <v>101520</v>
      </c>
    </row>
    <row r="52" spans="2:8">
      <c r="B52" s="6">
        <v>43105</v>
      </c>
      <c r="C52" s="2" t="s">
        <v>7</v>
      </c>
      <c r="D52" s="2" t="s">
        <v>15</v>
      </c>
      <c r="E52" s="4">
        <v>35000</v>
      </c>
      <c r="F52">
        <v>5</v>
      </c>
      <c r="G52" s="5">
        <v>0.05</v>
      </c>
      <c r="H52">
        <f>표1[단가]*표1[수량]*(1-표1[할인율])</f>
        <v>166250</v>
      </c>
    </row>
    <row r="53" spans="2:8">
      <c r="B53" s="6">
        <v>43106</v>
      </c>
      <c r="C53" s="2" t="s">
        <v>10</v>
      </c>
      <c r="D53" s="2" t="s">
        <v>41</v>
      </c>
      <c r="E53" s="4">
        <v>32000</v>
      </c>
      <c r="F53">
        <v>4</v>
      </c>
      <c r="G53" s="5">
        <v>0.05</v>
      </c>
      <c r="H53">
        <f>표1[단가]*표1[수량]*(1-표1[할인율])</f>
        <v>121600</v>
      </c>
    </row>
    <row r="54" spans="2:8">
      <c r="B54" s="6">
        <v>43106</v>
      </c>
      <c r="C54" s="2" t="s">
        <v>7</v>
      </c>
      <c r="D54" s="2" t="s">
        <v>40</v>
      </c>
      <c r="E54" s="4">
        <v>75000</v>
      </c>
      <c r="F54">
        <v>3</v>
      </c>
      <c r="G54" s="5">
        <v>0.05</v>
      </c>
      <c r="H54">
        <f>표1[단가]*표1[수량]*(1-표1[할인율])</f>
        <v>213750</v>
      </c>
    </row>
    <row r="55" spans="2:8">
      <c r="B55" s="6">
        <v>43106</v>
      </c>
      <c r="C55" s="2" t="s">
        <v>10</v>
      </c>
      <c r="D55" s="2" t="s">
        <v>42</v>
      </c>
      <c r="E55" s="4">
        <v>24000</v>
      </c>
      <c r="F55">
        <v>5</v>
      </c>
      <c r="G55" s="5">
        <v>0.05</v>
      </c>
      <c r="H55">
        <f>표1[단가]*표1[수량]*(1-표1[할인율])</f>
        <v>114000</v>
      </c>
    </row>
    <row r="56" spans="2:8">
      <c r="B56" s="6">
        <v>43106</v>
      </c>
      <c r="C56" s="2" t="s">
        <v>0</v>
      </c>
      <c r="D56" s="2" t="s">
        <v>43</v>
      </c>
      <c r="E56" s="4">
        <v>40000</v>
      </c>
      <c r="F56">
        <v>3</v>
      </c>
      <c r="G56" s="5">
        <v>0.04</v>
      </c>
      <c r="H56">
        <f>표1[단가]*표1[수량]*(1-표1[할인율])</f>
        <v>115200</v>
      </c>
    </row>
    <row r="57" spans="2:8">
      <c r="B57" s="6">
        <v>43106</v>
      </c>
      <c r="C57" s="2" t="s">
        <v>3</v>
      </c>
      <c r="D57" s="2" t="s">
        <v>16</v>
      </c>
      <c r="E57" s="4">
        <v>42000</v>
      </c>
      <c r="F57">
        <v>1</v>
      </c>
      <c r="G57" s="5">
        <v>0</v>
      </c>
      <c r="H57">
        <f>표1[단가]*표1[수량]*(1-표1[할인율])</f>
        <v>42000</v>
      </c>
    </row>
    <row r="58" spans="2:8">
      <c r="B58" s="6">
        <v>43106</v>
      </c>
      <c r="C58" s="2" t="s">
        <v>7</v>
      </c>
      <c r="D58" s="2" t="s">
        <v>44</v>
      </c>
      <c r="E58" s="4">
        <v>28000</v>
      </c>
      <c r="F58">
        <v>2</v>
      </c>
      <c r="G58" s="5">
        <v>0.05</v>
      </c>
      <c r="H58">
        <f>표1[단가]*표1[수량]*(1-표1[할인율])</f>
        <v>53200</v>
      </c>
    </row>
    <row r="59" spans="2:8">
      <c r="B59" s="6">
        <v>43107</v>
      </c>
      <c r="C59" s="2" t="s">
        <v>5</v>
      </c>
      <c r="D59" s="2" t="s">
        <v>45</v>
      </c>
      <c r="E59" s="4">
        <v>6000</v>
      </c>
      <c r="F59">
        <v>6</v>
      </c>
      <c r="G59" s="5">
        <v>0.06</v>
      </c>
      <c r="H59">
        <f>표1[단가]*표1[수량]*(1-표1[할인율])</f>
        <v>33840</v>
      </c>
    </row>
    <row r="60" spans="2:8">
      <c r="B60" s="6">
        <v>43107</v>
      </c>
      <c r="C60" t="s">
        <v>3</v>
      </c>
      <c r="D60" s="2" t="s">
        <v>4</v>
      </c>
      <c r="E60" s="4">
        <v>135000</v>
      </c>
      <c r="F60">
        <v>5</v>
      </c>
      <c r="G60" s="5">
        <v>7.0000000000000007E-2</v>
      </c>
      <c r="H60">
        <f>표1[단가]*표1[수량]*(1-표1[할인율])</f>
        <v>627750</v>
      </c>
    </row>
    <row r="61" spans="2:8">
      <c r="B61" s="6">
        <v>43107</v>
      </c>
      <c r="C61" t="s">
        <v>10</v>
      </c>
      <c r="D61" s="2" t="s">
        <v>33</v>
      </c>
      <c r="E61" s="4">
        <v>49000</v>
      </c>
      <c r="F61">
        <v>6</v>
      </c>
      <c r="G61" s="5">
        <v>0.05</v>
      </c>
      <c r="H61">
        <f>표1[단가]*표1[수량]*(1-표1[할인율])</f>
        <v>279300</v>
      </c>
    </row>
    <row r="62" spans="2:8">
      <c r="B62" s="6">
        <v>43107</v>
      </c>
      <c r="C62" t="s">
        <v>3</v>
      </c>
      <c r="D62" s="2" t="s">
        <v>20</v>
      </c>
      <c r="E62" s="4">
        <v>45000</v>
      </c>
      <c r="F62">
        <v>2</v>
      </c>
      <c r="G62" s="5">
        <v>0</v>
      </c>
      <c r="H62">
        <f>표1[단가]*표1[수량]*(1-표1[할인율])</f>
        <v>90000</v>
      </c>
    </row>
    <row r="63" spans="2:8">
      <c r="B63" s="6">
        <v>43107</v>
      </c>
      <c r="C63" t="s">
        <v>5</v>
      </c>
      <c r="D63" s="2" t="s">
        <v>45</v>
      </c>
      <c r="E63" s="4">
        <v>5500</v>
      </c>
      <c r="F63">
        <v>3</v>
      </c>
      <c r="G63" s="5">
        <v>0</v>
      </c>
      <c r="H63">
        <f>표1[단가]*표1[수량]*(1-표1[할인율])</f>
        <v>16500</v>
      </c>
    </row>
    <row r="64" spans="2:8">
      <c r="B64" s="6">
        <v>43107</v>
      </c>
      <c r="C64" t="s">
        <v>5</v>
      </c>
      <c r="D64" s="2" t="s">
        <v>6</v>
      </c>
      <c r="E64" s="4">
        <v>28000</v>
      </c>
      <c r="F64">
        <v>2</v>
      </c>
      <c r="G64" s="5">
        <v>0.06</v>
      </c>
      <c r="H64">
        <f>표1[단가]*표1[수량]*(1-표1[할인율])</f>
        <v>52640</v>
      </c>
    </row>
    <row r="65" spans="2:8">
      <c r="B65" s="6">
        <v>43107</v>
      </c>
      <c r="C65" t="s">
        <v>10</v>
      </c>
      <c r="D65" s="2" t="s">
        <v>46</v>
      </c>
      <c r="E65" s="4">
        <v>26000</v>
      </c>
      <c r="F65">
        <v>5</v>
      </c>
      <c r="G65" s="5">
        <v>0.05</v>
      </c>
      <c r="H65">
        <f>표1[단가]*표1[수량]*(1-표1[할인율])</f>
        <v>123500</v>
      </c>
    </row>
    <row r="66" spans="2:8">
      <c r="B66" s="6">
        <v>43107</v>
      </c>
      <c r="C66" t="s">
        <v>7</v>
      </c>
      <c r="D66" s="2" t="s">
        <v>26</v>
      </c>
      <c r="E66" s="4">
        <v>36000</v>
      </c>
      <c r="F66">
        <v>2</v>
      </c>
      <c r="G66" s="5">
        <v>0.05</v>
      </c>
      <c r="H66">
        <f>표1[단가]*표1[수량]*(1-표1[할인율])</f>
        <v>68400</v>
      </c>
    </row>
    <row r="67" spans="2:8">
      <c r="B67" s="6">
        <v>43108</v>
      </c>
      <c r="C67" t="s">
        <v>0</v>
      </c>
      <c r="D67" s="2" t="s">
        <v>47</v>
      </c>
      <c r="E67" s="4">
        <v>25500</v>
      </c>
      <c r="F67">
        <v>6</v>
      </c>
      <c r="G67" s="5">
        <v>0</v>
      </c>
      <c r="H67">
        <f>표1[단가]*표1[수량]*(1-표1[할인율])</f>
        <v>153000</v>
      </c>
    </row>
    <row r="68" spans="2:8">
      <c r="B68" s="6">
        <v>43108</v>
      </c>
      <c r="C68" t="s">
        <v>7</v>
      </c>
      <c r="D68" s="2" t="s">
        <v>48</v>
      </c>
      <c r="E68" s="4">
        <v>34000</v>
      </c>
      <c r="F68">
        <v>4</v>
      </c>
      <c r="G68" s="5">
        <v>0.05</v>
      </c>
      <c r="H68">
        <f>표1[단가]*표1[수량]*(1-표1[할인율])</f>
        <v>129200</v>
      </c>
    </row>
    <row r="69" spans="2:8">
      <c r="B69" s="6">
        <v>43108</v>
      </c>
      <c r="C69" t="s">
        <v>3</v>
      </c>
      <c r="D69" s="2" t="s">
        <v>49</v>
      </c>
      <c r="E69" s="4">
        <v>30000</v>
      </c>
      <c r="F69">
        <v>6</v>
      </c>
      <c r="G69" s="5">
        <v>0</v>
      </c>
      <c r="H69">
        <f>표1[단가]*표1[수량]*(1-표1[할인율])</f>
        <v>180000</v>
      </c>
    </row>
    <row r="70" spans="2:8">
      <c r="B70" s="6">
        <v>43108</v>
      </c>
      <c r="C70" t="s">
        <v>7</v>
      </c>
      <c r="D70" s="2" t="s">
        <v>8</v>
      </c>
      <c r="E70" s="4">
        <v>230000</v>
      </c>
      <c r="F70">
        <v>2</v>
      </c>
      <c r="G70" s="5">
        <v>0.05</v>
      </c>
      <c r="H70">
        <f>표1[단가]*표1[수량]*(1-표1[할인율])</f>
        <v>437000</v>
      </c>
    </row>
    <row r="71" spans="2:8">
      <c r="B71" s="6">
        <v>43108</v>
      </c>
      <c r="C71" t="s">
        <v>7</v>
      </c>
      <c r="D71" s="2" t="s">
        <v>50</v>
      </c>
      <c r="E71" s="4">
        <v>34000</v>
      </c>
      <c r="F71">
        <v>2</v>
      </c>
      <c r="G71" s="5">
        <v>0</v>
      </c>
      <c r="H71">
        <f>표1[단가]*표1[수량]*(1-표1[할인율])</f>
        <v>68000</v>
      </c>
    </row>
    <row r="72" spans="2:8">
      <c r="B72" s="6">
        <v>43108</v>
      </c>
      <c r="C72" t="s">
        <v>3</v>
      </c>
      <c r="D72" s="2" t="s">
        <v>51</v>
      </c>
      <c r="E72" s="4">
        <v>98000</v>
      </c>
      <c r="F72">
        <v>2</v>
      </c>
      <c r="G72" s="5">
        <v>7.0000000000000007E-2</v>
      </c>
      <c r="H72">
        <f>표1[단가]*표1[수량]*(1-표1[할인율])</f>
        <v>182280</v>
      </c>
    </row>
    <row r="73" spans="2:8">
      <c r="B73" s="6">
        <v>43109</v>
      </c>
      <c r="C73" t="s">
        <v>3</v>
      </c>
      <c r="D73" s="2" t="s">
        <v>52</v>
      </c>
      <c r="E73" s="4">
        <v>35000</v>
      </c>
      <c r="F73">
        <v>2</v>
      </c>
      <c r="G73" s="5">
        <v>7.0000000000000007E-2</v>
      </c>
      <c r="H73">
        <f>표1[단가]*표1[수량]*(1-표1[할인율])</f>
        <v>65099.999999999993</v>
      </c>
    </row>
    <row r="74" spans="2:8">
      <c r="B74" s="6">
        <v>43109</v>
      </c>
      <c r="C74" t="s">
        <v>5</v>
      </c>
      <c r="D74" s="2" t="s">
        <v>53</v>
      </c>
      <c r="E74" s="4">
        <v>31500</v>
      </c>
      <c r="F74">
        <v>2</v>
      </c>
      <c r="G74" s="5">
        <v>0</v>
      </c>
      <c r="H74">
        <f>표1[단가]*표1[수량]*(1-표1[할인율])</f>
        <v>63000</v>
      </c>
    </row>
    <row r="75" spans="2:8">
      <c r="B75" s="6">
        <v>43109</v>
      </c>
      <c r="C75" t="s">
        <v>5</v>
      </c>
      <c r="D75" s="2" t="s">
        <v>54</v>
      </c>
      <c r="E75" s="4">
        <v>43000</v>
      </c>
      <c r="F75">
        <v>3</v>
      </c>
      <c r="G75" s="5">
        <v>0</v>
      </c>
      <c r="H75">
        <f>표1[단가]*표1[수량]*(1-표1[할인율])</f>
        <v>129000</v>
      </c>
    </row>
    <row r="76" spans="2:8">
      <c r="B76" s="6">
        <v>43109</v>
      </c>
      <c r="C76" t="s">
        <v>10</v>
      </c>
      <c r="D76" s="2" t="s">
        <v>55</v>
      </c>
      <c r="E76" s="4">
        <v>15000</v>
      </c>
      <c r="F76">
        <v>6</v>
      </c>
      <c r="G76" s="5">
        <v>0.05</v>
      </c>
      <c r="H76">
        <f>표1[단가]*표1[수량]*(1-표1[할인율])</f>
        <v>85500</v>
      </c>
    </row>
    <row r="77" spans="2:8">
      <c r="B77" s="6">
        <v>43109</v>
      </c>
      <c r="C77" t="s">
        <v>3</v>
      </c>
      <c r="D77" s="2" t="s">
        <v>56</v>
      </c>
      <c r="E77" s="4">
        <v>89000</v>
      </c>
      <c r="F77">
        <v>5</v>
      </c>
      <c r="G77" s="5">
        <v>0</v>
      </c>
      <c r="H77">
        <f>표1[단가]*표1[수량]*(1-표1[할인율])</f>
        <v>445000</v>
      </c>
    </row>
    <row r="78" spans="2:8">
      <c r="B78" s="6">
        <v>43110</v>
      </c>
      <c r="C78" t="s">
        <v>10</v>
      </c>
      <c r="D78" s="2" t="s">
        <v>41</v>
      </c>
      <c r="E78" s="4">
        <v>32000</v>
      </c>
      <c r="F78">
        <v>4</v>
      </c>
      <c r="G78" s="5">
        <v>0.05</v>
      </c>
      <c r="H78">
        <f>표1[단가]*표1[수량]*(1-표1[할인율])</f>
        <v>121600</v>
      </c>
    </row>
    <row r="79" spans="2:8">
      <c r="B79" s="6">
        <v>43110</v>
      </c>
      <c r="C79" t="s">
        <v>3</v>
      </c>
      <c r="D79" s="2" t="s">
        <v>23</v>
      </c>
      <c r="E79" s="4">
        <v>74000</v>
      </c>
      <c r="F79">
        <v>3</v>
      </c>
      <c r="G79" s="5">
        <v>0</v>
      </c>
      <c r="H79">
        <f>표1[단가]*표1[수량]*(1-표1[할인율])</f>
        <v>222000</v>
      </c>
    </row>
    <row r="80" spans="2:8">
      <c r="B80" s="6">
        <v>43110</v>
      </c>
      <c r="C80" t="s">
        <v>3</v>
      </c>
      <c r="D80" s="2" t="s">
        <v>57</v>
      </c>
      <c r="E80" s="4">
        <v>45000</v>
      </c>
      <c r="F80">
        <v>3</v>
      </c>
      <c r="G80" s="5">
        <v>7.0000000000000007E-2</v>
      </c>
      <c r="H80">
        <f>표1[단가]*표1[수량]*(1-표1[할인율])</f>
        <v>125549.99999999999</v>
      </c>
    </row>
    <row r="81" spans="2:8">
      <c r="B81" s="6">
        <v>43110</v>
      </c>
      <c r="C81" t="s">
        <v>7</v>
      </c>
      <c r="D81" s="2" t="s">
        <v>58</v>
      </c>
      <c r="E81" s="4">
        <v>25000</v>
      </c>
      <c r="F81">
        <v>6</v>
      </c>
      <c r="G81" s="5">
        <v>0.05</v>
      </c>
      <c r="H81">
        <f>표1[단가]*표1[수량]*(1-표1[할인율])</f>
        <v>142500</v>
      </c>
    </row>
    <row r="82" spans="2:8">
      <c r="B82" s="6">
        <v>43110</v>
      </c>
      <c r="C82" t="s">
        <v>3</v>
      </c>
      <c r="D82" s="2" t="s">
        <v>59</v>
      </c>
      <c r="E82" s="4">
        <v>45000</v>
      </c>
      <c r="F82">
        <v>6</v>
      </c>
      <c r="G82" s="5">
        <v>7.0000000000000007E-2</v>
      </c>
      <c r="H82">
        <f>표1[단가]*표1[수량]*(1-표1[할인율])</f>
        <v>251099.99999999997</v>
      </c>
    </row>
    <row r="83" spans="2:8">
      <c r="B83" s="6">
        <v>43110</v>
      </c>
      <c r="C83" t="s">
        <v>7</v>
      </c>
      <c r="D83" s="2" t="s">
        <v>60</v>
      </c>
      <c r="E83" s="4">
        <v>27000</v>
      </c>
      <c r="F83">
        <v>3</v>
      </c>
      <c r="G83" s="5">
        <v>0.05</v>
      </c>
      <c r="H83">
        <f>표1[단가]*표1[수량]*(1-표1[할인율])</f>
        <v>76950</v>
      </c>
    </row>
    <row r="84" spans="2:8">
      <c r="B84" s="6">
        <v>43111</v>
      </c>
      <c r="C84" t="s">
        <v>0</v>
      </c>
      <c r="D84" s="2" t="s">
        <v>35</v>
      </c>
      <c r="E84" s="4">
        <v>95000</v>
      </c>
      <c r="F84">
        <v>2</v>
      </c>
      <c r="G84" s="5">
        <v>0</v>
      </c>
      <c r="H84">
        <f>표1[단가]*표1[수량]*(1-표1[할인율])</f>
        <v>190000</v>
      </c>
    </row>
    <row r="85" spans="2:8">
      <c r="B85" s="6">
        <v>43111</v>
      </c>
      <c r="C85" t="s">
        <v>3</v>
      </c>
      <c r="D85" s="2" t="s">
        <v>27</v>
      </c>
      <c r="E85" s="4">
        <v>95000</v>
      </c>
      <c r="F85">
        <v>3</v>
      </c>
      <c r="G85" s="5">
        <v>0</v>
      </c>
      <c r="H85">
        <f>표1[단가]*표1[수량]*(1-표1[할인율])</f>
        <v>285000</v>
      </c>
    </row>
    <row r="86" spans="2:8">
      <c r="B86" s="6">
        <v>43111</v>
      </c>
      <c r="C86" t="s">
        <v>7</v>
      </c>
      <c r="D86" s="2" t="s">
        <v>40</v>
      </c>
      <c r="E86" s="4">
        <v>73000</v>
      </c>
      <c r="F86">
        <v>2</v>
      </c>
      <c r="G86" s="5">
        <v>0</v>
      </c>
      <c r="H86">
        <f>표1[단가]*표1[수량]*(1-표1[할인율])</f>
        <v>146000</v>
      </c>
    </row>
    <row r="87" spans="2:8">
      <c r="B87" s="6">
        <v>43111</v>
      </c>
      <c r="C87" t="s">
        <v>5</v>
      </c>
      <c r="D87" s="2" t="s">
        <v>31</v>
      </c>
      <c r="E87" s="4">
        <v>30000</v>
      </c>
      <c r="F87">
        <v>2</v>
      </c>
      <c r="G87" s="5">
        <v>0.06</v>
      </c>
      <c r="H87">
        <f>표1[단가]*표1[수량]*(1-표1[할인율])</f>
        <v>56400</v>
      </c>
    </row>
    <row r="88" spans="2:8">
      <c r="B88" s="6">
        <v>43111</v>
      </c>
      <c r="C88" t="s">
        <v>5</v>
      </c>
      <c r="D88" s="2" t="s">
        <v>45</v>
      </c>
      <c r="E88" s="4">
        <v>6000</v>
      </c>
      <c r="F88">
        <v>3</v>
      </c>
      <c r="G88" s="5">
        <v>0.06</v>
      </c>
      <c r="H88">
        <f>표1[단가]*표1[수량]*(1-표1[할인율])</f>
        <v>16920</v>
      </c>
    </row>
    <row r="89" spans="2:8">
      <c r="B89" s="6">
        <v>43111</v>
      </c>
      <c r="C89" t="s">
        <v>0</v>
      </c>
      <c r="D89" s="2" t="s">
        <v>61</v>
      </c>
      <c r="E89" s="4">
        <v>58000</v>
      </c>
      <c r="F89">
        <v>5</v>
      </c>
      <c r="G89" s="5">
        <v>0.04</v>
      </c>
      <c r="H89">
        <f>표1[단가]*표1[수량]*(1-표1[할인율])</f>
        <v>278400</v>
      </c>
    </row>
    <row r="90" spans="2:8">
      <c r="B90" s="6">
        <v>43111</v>
      </c>
      <c r="C90" t="s">
        <v>0</v>
      </c>
      <c r="D90" s="2" t="s">
        <v>62</v>
      </c>
      <c r="E90" s="4">
        <v>69000</v>
      </c>
      <c r="F90">
        <v>3</v>
      </c>
      <c r="G90" s="5">
        <v>0.04</v>
      </c>
      <c r="H90">
        <f>표1[단가]*표1[수량]*(1-표1[할인율])</f>
        <v>198720</v>
      </c>
    </row>
    <row r="91" spans="2:8">
      <c r="B91" s="6">
        <v>43111</v>
      </c>
      <c r="C91" t="s">
        <v>5</v>
      </c>
      <c r="D91" s="2" t="s">
        <v>63</v>
      </c>
      <c r="E91" s="4">
        <v>27000</v>
      </c>
      <c r="F91">
        <v>1</v>
      </c>
      <c r="G91" s="5">
        <v>0</v>
      </c>
      <c r="H91">
        <f>표1[단가]*표1[수량]*(1-표1[할인율])</f>
        <v>27000</v>
      </c>
    </row>
    <row r="92" spans="2:8">
      <c r="B92" s="6">
        <v>43111</v>
      </c>
      <c r="C92" t="s">
        <v>7</v>
      </c>
      <c r="D92" s="2" t="s">
        <v>64</v>
      </c>
      <c r="E92" s="4">
        <v>370000</v>
      </c>
      <c r="F92">
        <v>2</v>
      </c>
      <c r="G92" s="5">
        <v>0</v>
      </c>
      <c r="H92">
        <f>표1[단가]*표1[수량]*(1-표1[할인율])</f>
        <v>740000</v>
      </c>
    </row>
    <row r="93" spans="2:8">
      <c r="B93" s="6">
        <v>43112</v>
      </c>
      <c r="C93" t="s">
        <v>0</v>
      </c>
      <c r="D93" s="2" t="s">
        <v>65</v>
      </c>
      <c r="E93" s="4">
        <v>75000</v>
      </c>
      <c r="F93">
        <v>3</v>
      </c>
      <c r="G93" s="5">
        <v>0.04</v>
      </c>
      <c r="H93">
        <f>표1[단가]*표1[수량]*(1-표1[할인율])</f>
        <v>216000</v>
      </c>
    </row>
    <row r="94" spans="2:8">
      <c r="B94" s="6">
        <v>43112</v>
      </c>
      <c r="C94" t="s">
        <v>0</v>
      </c>
      <c r="D94" s="2" t="s">
        <v>66</v>
      </c>
      <c r="E94" s="4">
        <v>28000</v>
      </c>
      <c r="F94">
        <v>1</v>
      </c>
      <c r="G94" s="5">
        <v>0</v>
      </c>
      <c r="H94">
        <f>표1[단가]*표1[수량]*(1-표1[할인율])</f>
        <v>28000</v>
      </c>
    </row>
    <row r="95" spans="2:8">
      <c r="B95" s="6">
        <v>43112</v>
      </c>
      <c r="C95" t="s">
        <v>5</v>
      </c>
      <c r="D95" s="2" t="s">
        <v>67</v>
      </c>
      <c r="E95" s="4">
        <v>41500</v>
      </c>
      <c r="F95">
        <v>4</v>
      </c>
      <c r="G95" s="5">
        <v>0</v>
      </c>
      <c r="H95">
        <f>표1[단가]*표1[수량]*(1-표1[할인율])</f>
        <v>166000</v>
      </c>
    </row>
    <row r="96" spans="2:8">
      <c r="B96" s="6">
        <v>43112</v>
      </c>
      <c r="C96" t="s">
        <v>7</v>
      </c>
      <c r="D96" s="2" t="s">
        <v>38</v>
      </c>
      <c r="E96" s="4">
        <v>240000</v>
      </c>
      <c r="F96">
        <v>1</v>
      </c>
      <c r="G96" s="5">
        <v>0</v>
      </c>
      <c r="H96">
        <f>표1[단가]*표1[수량]*(1-표1[할인율])</f>
        <v>240000</v>
      </c>
    </row>
    <row r="97" spans="2:8">
      <c r="B97" s="6">
        <v>43112</v>
      </c>
      <c r="C97" t="s">
        <v>5</v>
      </c>
      <c r="D97" s="2" t="s">
        <v>68</v>
      </c>
      <c r="E97" s="4">
        <v>42000</v>
      </c>
      <c r="F97">
        <v>8</v>
      </c>
      <c r="G97" s="5">
        <v>0.06</v>
      </c>
      <c r="H97">
        <f>표1[단가]*표1[수량]*(1-표1[할인율])</f>
        <v>315840</v>
      </c>
    </row>
    <row r="98" spans="2:8">
      <c r="B98" s="6">
        <v>43112</v>
      </c>
      <c r="C98" t="s">
        <v>3</v>
      </c>
      <c r="D98" s="2" t="s">
        <v>59</v>
      </c>
      <c r="E98" s="4">
        <v>40000</v>
      </c>
      <c r="F98">
        <v>2</v>
      </c>
      <c r="G98" s="5">
        <v>0</v>
      </c>
      <c r="H98">
        <f>표1[단가]*표1[수량]*(1-표1[할인율])</f>
        <v>80000</v>
      </c>
    </row>
    <row r="99" spans="2:8">
      <c r="B99" s="6">
        <v>43112</v>
      </c>
      <c r="C99" t="s">
        <v>3</v>
      </c>
      <c r="D99" s="2" t="s">
        <v>57</v>
      </c>
      <c r="E99" s="4">
        <v>45000</v>
      </c>
      <c r="F99">
        <v>2</v>
      </c>
      <c r="G99" s="5">
        <v>7.0000000000000007E-2</v>
      </c>
      <c r="H99">
        <f>표1[단가]*표1[수량]*(1-표1[할인율])</f>
        <v>83700</v>
      </c>
    </row>
    <row r="100" spans="2:8">
      <c r="B100" s="6">
        <v>43113</v>
      </c>
      <c r="C100" t="s">
        <v>10</v>
      </c>
      <c r="D100" s="2" t="s">
        <v>55</v>
      </c>
      <c r="E100" s="4">
        <v>15000</v>
      </c>
      <c r="F100">
        <v>3</v>
      </c>
      <c r="G100" s="5">
        <v>0.05</v>
      </c>
      <c r="H100">
        <f>표1[단가]*표1[수량]*(1-표1[할인율])</f>
        <v>42750</v>
      </c>
    </row>
    <row r="101" spans="2:8">
      <c r="B101" s="6">
        <v>43113</v>
      </c>
      <c r="C101" t="s">
        <v>5</v>
      </c>
      <c r="D101" s="2" t="s">
        <v>69</v>
      </c>
      <c r="E101" s="4">
        <v>30000</v>
      </c>
      <c r="F101">
        <v>6</v>
      </c>
      <c r="G101" s="5">
        <v>0.06</v>
      </c>
      <c r="H101">
        <f>표1[단가]*표1[수량]*(1-표1[할인율])</f>
        <v>169200</v>
      </c>
    </row>
    <row r="102" spans="2:8">
      <c r="B102" s="6">
        <v>43113</v>
      </c>
      <c r="C102" t="s">
        <v>5</v>
      </c>
      <c r="D102" s="2" t="s">
        <v>68</v>
      </c>
      <c r="E102" s="4">
        <v>39000</v>
      </c>
      <c r="F102">
        <v>4</v>
      </c>
      <c r="G102" s="5">
        <v>0</v>
      </c>
      <c r="H102">
        <f>표1[단가]*표1[수량]*(1-표1[할인율])</f>
        <v>156000</v>
      </c>
    </row>
    <row r="103" spans="2:8">
      <c r="B103" s="6">
        <v>43113</v>
      </c>
      <c r="C103" t="s">
        <v>3</v>
      </c>
      <c r="D103" s="2" t="s">
        <v>14</v>
      </c>
      <c r="E103" s="4">
        <v>30000</v>
      </c>
      <c r="F103">
        <v>1</v>
      </c>
      <c r="G103" s="5">
        <v>0</v>
      </c>
      <c r="H103">
        <f>표1[단가]*표1[수량]*(1-표1[할인율])</f>
        <v>30000</v>
      </c>
    </row>
    <row r="104" spans="2:8">
      <c r="B104" s="6">
        <v>43113</v>
      </c>
      <c r="C104" t="s">
        <v>5</v>
      </c>
      <c r="D104" s="2" t="s">
        <v>69</v>
      </c>
      <c r="E104" s="4">
        <v>30000</v>
      </c>
      <c r="F104">
        <v>6</v>
      </c>
      <c r="G104" s="5">
        <v>0.06</v>
      </c>
      <c r="H104">
        <f>표1[단가]*표1[수량]*(1-표1[할인율])</f>
        <v>169200</v>
      </c>
    </row>
    <row r="105" spans="2:8">
      <c r="B105" s="6">
        <v>43113</v>
      </c>
      <c r="C105" t="s">
        <v>7</v>
      </c>
      <c r="D105" s="2" t="s">
        <v>70</v>
      </c>
      <c r="E105" s="4">
        <v>64000</v>
      </c>
      <c r="F105">
        <v>3</v>
      </c>
      <c r="G105" s="5">
        <v>0.05</v>
      </c>
      <c r="H105">
        <f>표1[단가]*표1[수량]*(1-표1[할인율])</f>
        <v>182400</v>
      </c>
    </row>
    <row r="106" spans="2:8">
      <c r="B106" s="6">
        <v>43114</v>
      </c>
      <c r="C106" t="s">
        <v>3</v>
      </c>
      <c r="D106" s="2" t="s">
        <v>23</v>
      </c>
      <c r="E106" s="4">
        <v>78000</v>
      </c>
      <c r="F106">
        <v>6</v>
      </c>
      <c r="G106" s="5">
        <v>7.0000000000000007E-2</v>
      </c>
      <c r="H106">
        <f>표1[단가]*표1[수량]*(1-표1[할인율])</f>
        <v>435240</v>
      </c>
    </row>
    <row r="107" spans="2:8">
      <c r="B107" s="6">
        <v>43114</v>
      </c>
      <c r="C107" t="s">
        <v>7</v>
      </c>
      <c r="D107" s="2" t="s">
        <v>12</v>
      </c>
      <c r="E107" s="4">
        <v>65000</v>
      </c>
      <c r="F107">
        <v>2</v>
      </c>
      <c r="G107" s="5">
        <v>0.05</v>
      </c>
      <c r="H107">
        <f>표1[단가]*표1[수량]*(1-표1[할인율])</f>
        <v>123500</v>
      </c>
    </row>
    <row r="108" spans="2:8">
      <c r="B108" s="6">
        <v>43114</v>
      </c>
      <c r="C108" t="s">
        <v>3</v>
      </c>
      <c r="D108" s="2" t="s">
        <v>16</v>
      </c>
      <c r="E108" s="4">
        <v>55000</v>
      </c>
      <c r="F108">
        <v>2</v>
      </c>
      <c r="G108" s="5">
        <v>7.0000000000000007E-2</v>
      </c>
      <c r="H108">
        <f>표1[단가]*표1[수량]*(1-표1[할인율])</f>
        <v>102300</v>
      </c>
    </row>
    <row r="109" spans="2:8">
      <c r="B109" s="6">
        <v>43114</v>
      </c>
      <c r="C109" t="s">
        <v>7</v>
      </c>
      <c r="D109" s="2" t="s">
        <v>71</v>
      </c>
      <c r="E109" s="4">
        <v>33000</v>
      </c>
      <c r="F109">
        <v>5</v>
      </c>
      <c r="G109" s="5">
        <v>0.05</v>
      </c>
      <c r="H109">
        <f>표1[단가]*표1[수량]*(1-표1[할인율])</f>
        <v>156750</v>
      </c>
    </row>
    <row r="110" spans="2:8">
      <c r="B110" s="6">
        <v>43114</v>
      </c>
      <c r="C110" t="s">
        <v>0</v>
      </c>
      <c r="D110" s="2" t="s">
        <v>72</v>
      </c>
      <c r="E110" s="4">
        <v>30000</v>
      </c>
      <c r="F110">
        <v>1</v>
      </c>
      <c r="G110" s="5">
        <v>0</v>
      </c>
      <c r="H110">
        <f>표1[단가]*표1[수량]*(1-표1[할인율])</f>
        <v>30000</v>
      </c>
    </row>
    <row r="111" spans="2:8">
      <c r="B111" s="6">
        <v>43114</v>
      </c>
      <c r="C111" t="s">
        <v>5</v>
      </c>
      <c r="D111" s="2" t="s">
        <v>6</v>
      </c>
      <c r="E111" s="4">
        <v>28000</v>
      </c>
      <c r="F111">
        <v>4</v>
      </c>
      <c r="G111" s="5">
        <v>0.06</v>
      </c>
      <c r="H111">
        <f>표1[단가]*표1[수량]*(1-표1[할인율])</f>
        <v>105280</v>
      </c>
    </row>
    <row r="112" spans="2:8">
      <c r="B112" s="6">
        <v>43114</v>
      </c>
      <c r="C112" t="s">
        <v>10</v>
      </c>
      <c r="D112" s="2" t="s">
        <v>73</v>
      </c>
      <c r="E112" s="4">
        <v>47000</v>
      </c>
      <c r="F112">
        <v>2</v>
      </c>
      <c r="G112" s="5">
        <v>0.05</v>
      </c>
      <c r="H112">
        <f>표1[단가]*표1[수량]*(1-표1[할인율])</f>
        <v>89300</v>
      </c>
    </row>
    <row r="113" spans="2:8">
      <c r="B113" s="6">
        <v>43114</v>
      </c>
      <c r="C113" t="s">
        <v>7</v>
      </c>
      <c r="D113" s="2" t="s">
        <v>8</v>
      </c>
      <c r="E113" s="4">
        <v>210000</v>
      </c>
      <c r="F113">
        <v>3</v>
      </c>
      <c r="G113" s="5">
        <v>0</v>
      </c>
      <c r="H113">
        <f>표1[단가]*표1[수량]*(1-표1[할인율])</f>
        <v>630000</v>
      </c>
    </row>
    <row r="114" spans="2:8">
      <c r="B114" s="6">
        <v>43115</v>
      </c>
      <c r="C114" t="s">
        <v>7</v>
      </c>
      <c r="D114" s="2" t="s">
        <v>15</v>
      </c>
      <c r="E114" s="4">
        <v>35000</v>
      </c>
      <c r="F114">
        <v>3</v>
      </c>
      <c r="G114" s="5">
        <v>0.05</v>
      </c>
      <c r="H114">
        <f>표1[단가]*표1[수량]*(1-표1[할인율])</f>
        <v>99750</v>
      </c>
    </row>
    <row r="115" spans="2:8">
      <c r="B115" s="6">
        <v>43115</v>
      </c>
      <c r="C115" t="s">
        <v>5</v>
      </c>
      <c r="D115" s="2" t="s">
        <v>74</v>
      </c>
      <c r="E115" s="4">
        <v>39500</v>
      </c>
      <c r="F115">
        <v>3</v>
      </c>
      <c r="G115" s="5">
        <v>0</v>
      </c>
      <c r="H115">
        <f>표1[단가]*표1[수량]*(1-표1[할인율])</f>
        <v>118500</v>
      </c>
    </row>
    <row r="116" spans="2:8">
      <c r="B116" s="6">
        <v>43115</v>
      </c>
      <c r="C116" t="s">
        <v>10</v>
      </c>
      <c r="D116" s="2" t="s">
        <v>75</v>
      </c>
      <c r="E116" s="4">
        <v>21000</v>
      </c>
      <c r="F116">
        <v>7</v>
      </c>
      <c r="G116" s="5">
        <v>0</v>
      </c>
      <c r="H116">
        <f>표1[단가]*표1[수량]*(1-표1[할인율])</f>
        <v>147000</v>
      </c>
    </row>
    <row r="117" spans="2:8">
      <c r="B117" s="6">
        <v>43115</v>
      </c>
      <c r="C117" t="s">
        <v>0</v>
      </c>
      <c r="D117" s="2" t="s">
        <v>76</v>
      </c>
      <c r="E117" s="4">
        <v>48000</v>
      </c>
      <c r="F117">
        <v>5</v>
      </c>
      <c r="G117" s="5">
        <v>0.04</v>
      </c>
      <c r="H117">
        <f>표1[단가]*표1[수량]*(1-표1[할인율])</f>
        <v>230400</v>
      </c>
    </row>
    <row r="118" spans="2:8">
      <c r="B118" s="6">
        <v>43115</v>
      </c>
      <c r="C118" t="s">
        <v>3</v>
      </c>
      <c r="D118" s="2" t="s">
        <v>77</v>
      </c>
      <c r="E118" s="4">
        <v>50000</v>
      </c>
      <c r="F118">
        <v>5</v>
      </c>
      <c r="G118" s="5">
        <v>0</v>
      </c>
      <c r="H118">
        <f>표1[단가]*표1[수량]*(1-표1[할인율])</f>
        <v>250000</v>
      </c>
    </row>
    <row r="119" spans="2:8">
      <c r="B119" s="6">
        <v>43115</v>
      </c>
      <c r="C119" t="s">
        <v>5</v>
      </c>
      <c r="D119" s="2" t="s">
        <v>45</v>
      </c>
      <c r="E119" s="4">
        <v>5500</v>
      </c>
      <c r="F119">
        <v>4</v>
      </c>
      <c r="G119" s="5">
        <v>0</v>
      </c>
      <c r="H119">
        <f>표1[단가]*표1[수량]*(1-표1[할인율])</f>
        <v>22000</v>
      </c>
    </row>
    <row r="120" spans="2:8">
      <c r="B120" s="6">
        <v>43115</v>
      </c>
      <c r="C120" t="s">
        <v>0</v>
      </c>
      <c r="D120" s="2" t="s">
        <v>65</v>
      </c>
      <c r="E120" s="4">
        <v>75000</v>
      </c>
      <c r="F120">
        <v>4</v>
      </c>
      <c r="G120" s="5">
        <v>0.04</v>
      </c>
      <c r="H120">
        <f>표1[단가]*표1[수량]*(1-표1[할인율])</f>
        <v>288000</v>
      </c>
    </row>
    <row r="121" spans="2:8">
      <c r="B121" s="6">
        <v>43115</v>
      </c>
      <c r="C121" t="s">
        <v>3</v>
      </c>
      <c r="D121" s="2" t="s">
        <v>56</v>
      </c>
      <c r="E121" s="4">
        <v>95000</v>
      </c>
      <c r="F121">
        <v>5</v>
      </c>
      <c r="G121" s="5">
        <v>7.0000000000000007E-2</v>
      </c>
      <c r="H121">
        <f>표1[단가]*표1[수량]*(1-표1[할인율])</f>
        <v>441749.99999999994</v>
      </c>
    </row>
    <row r="122" spans="2:8">
      <c r="B122" s="6">
        <v>43115</v>
      </c>
      <c r="C122" t="s">
        <v>0</v>
      </c>
      <c r="D122" s="2" t="s">
        <v>78</v>
      </c>
      <c r="E122" s="4">
        <v>175000</v>
      </c>
      <c r="F122">
        <v>2</v>
      </c>
      <c r="G122" s="5">
        <v>0.04</v>
      </c>
      <c r="H122">
        <f>표1[단가]*표1[수량]*(1-표1[할인율])</f>
        <v>336000</v>
      </c>
    </row>
    <row r="123" spans="2:8">
      <c r="B123" s="6">
        <v>43115</v>
      </c>
      <c r="C123" t="s">
        <v>10</v>
      </c>
      <c r="D123" s="2" t="s">
        <v>11</v>
      </c>
      <c r="E123" s="4">
        <v>24000</v>
      </c>
      <c r="F123">
        <v>5</v>
      </c>
      <c r="G123" s="5">
        <v>0.05</v>
      </c>
      <c r="H123">
        <f>표1[단가]*표1[수량]*(1-표1[할인율])</f>
        <v>114000</v>
      </c>
    </row>
    <row r="124" spans="2:8">
      <c r="B124" s="6">
        <v>43115</v>
      </c>
      <c r="C124" t="s">
        <v>3</v>
      </c>
      <c r="D124" s="2" t="s">
        <v>16</v>
      </c>
      <c r="E124" s="4">
        <v>42000</v>
      </c>
      <c r="F124">
        <v>2</v>
      </c>
      <c r="G124" s="5">
        <v>0</v>
      </c>
      <c r="H124">
        <f>표1[단가]*표1[수량]*(1-표1[할인율])</f>
        <v>84000</v>
      </c>
    </row>
    <row r="125" spans="2:8">
      <c r="B125" s="6">
        <v>43115</v>
      </c>
      <c r="C125" t="s">
        <v>10</v>
      </c>
      <c r="D125" s="2" t="s">
        <v>79</v>
      </c>
      <c r="E125" s="4">
        <v>20000</v>
      </c>
      <c r="F125">
        <v>2</v>
      </c>
      <c r="G125" s="5">
        <v>0</v>
      </c>
      <c r="H125">
        <f>표1[단가]*표1[수량]*(1-표1[할인율])</f>
        <v>40000</v>
      </c>
    </row>
    <row r="126" spans="2:8">
      <c r="B126" s="6">
        <v>43116</v>
      </c>
      <c r="C126" t="s">
        <v>0</v>
      </c>
      <c r="D126" s="2" t="s">
        <v>62</v>
      </c>
      <c r="E126" s="4">
        <v>69000</v>
      </c>
      <c r="F126">
        <v>2</v>
      </c>
      <c r="G126" s="5">
        <v>0.04</v>
      </c>
      <c r="H126">
        <f>표1[단가]*표1[수량]*(1-표1[할인율])</f>
        <v>132480</v>
      </c>
    </row>
    <row r="127" spans="2:8">
      <c r="B127" s="6">
        <v>43116</v>
      </c>
      <c r="C127" t="s">
        <v>3</v>
      </c>
      <c r="D127" s="2" t="s">
        <v>80</v>
      </c>
      <c r="E127" s="4">
        <v>60000</v>
      </c>
      <c r="F127">
        <v>5</v>
      </c>
      <c r="G127" s="5">
        <v>7.0000000000000007E-2</v>
      </c>
      <c r="H127">
        <f>표1[단가]*표1[수량]*(1-표1[할인율])</f>
        <v>279000</v>
      </c>
    </row>
    <row r="128" spans="2:8">
      <c r="B128" s="6">
        <v>43116</v>
      </c>
      <c r="C128" t="s">
        <v>0</v>
      </c>
      <c r="D128" s="2" t="s">
        <v>76</v>
      </c>
      <c r="E128" s="4">
        <v>48000</v>
      </c>
      <c r="F128">
        <v>4</v>
      </c>
      <c r="G128" s="5">
        <v>0.04</v>
      </c>
      <c r="H128">
        <f>표1[단가]*표1[수량]*(1-표1[할인율])</f>
        <v>184320</v>
      </c>
    </row>
    <row r="129" spans="2:8">
      <c r="B129" s="6">
        <v>43116</v>
      </c>
      <c r="C129" t="s">
        <v>3</v>
      </c>
      <c r="D129" s="2" t="s">
        <v>16</v>
      </c>
      <c r="E129" s="4">
        <v>42000</v>
      </c>
      <c r="F129">
        <v>3</v>
      </c>
      <c r="G129" s="5">
        <v>0</v>
      </c>
      <c r="H129">
        <f>표1[단가]*표1[수량]*(1-표1[할인율])</f>
        <v>126000</v>
      </c>
    </row>
    <row r="130" spans="2:8">
      <c r="B130" s="6">
        <v>43117</v>
      </c>
      <c r="C130" t="s">
        <v>0</v>
      </c>
      <c r="D130" s="2" t="s">
        <v>81</v>
      </c>
      <c r="E130" s="4">
        <v>170000</v>
      </c>
      <c r="F130">
        <v>3</v>
      </c>
      <c r="G130" s="5">
        <v>0.04</v>
      </c>
      <c r="H130">
        <f>표1[단가]*표1[수량]*(1-표1[할인율])</f>
        <v>489600</v>
      </c>
    </row>
    <row r="131" spans="2:8">
      <c r="B131" s="6">
        <v>43117</v>
      </c>
      <c r="C131" t="s">
        <v>10</v>
      </c>
      <c r="D131" s="2" t="s">
        <v>82</v>
      </c>
      <c r="E131" s="4">
        <v>49000</v>
      </c>
      <c r="F131">
        <v>5</v>
      </c>
      <c r="G131" s="5">
        <v>0</v>
      </c>
      <c r="H131">
        <f>표1[단가]*표1[수량]*(1-표1[할인율])</f>
        <v>245000</v>
      </c>
    </row>
    <row r="132" spans="2:8">
      <c r="B132" s="6">
        <v>43117</v>
      </c>
      <c r="C132" t="s">
        <v>5</v>
      </c>
      <c r="D132" s="2" t="s">
        <v>83</v>
      </c>
      <c r="E132" s="4">
        <v>42000</v>
      </c>
      <c r="F132">
        <v>4</v>
      </c>
      <c r="G132" s="5">
        <v>0.06</v>
      </c>
      <c r="H132">
        <f>표1[단가]*표1[수량]*(1-표1[할인율])</f>
        <v>157920</v>
      </c>
    </row>
    <row r="133" spans="2:8">
      <c r="B133" s="6">
        <v>43117</v>
      </c>
      <c r="C133" t="s">
        <v>3</v>
      </c>
      <c r="D133" s="2" t="s">
        <v>22</v>
      </c>
      <c r="E133" s="4">
        <v>38000</v>
      </c>
      <c r="F133">
        <v>5</v>
      </c>
      <c r="G133" s="5">
        <v>7.0000000000000007E-2</v>
      </c>
      <c r="H133">
        <f>표1[단가]*표1[수량]*(1-표1[할인율])</f>
        <v>176700</v>
      </c>
    </row>
    <row r="134" spans="2:8">
      <c r="B134" s="6">
        <v>43117</v>
      </c>
      <c r="C134" t="s">
        <v>5</v>
      </c>
      <c r="D134" s="2" t="s">
        <v>83</v>
      </c>
      <c r="E134" s="4">
        <v>42000</v>
      </c>
      <c r="F134">
        <v>5</v>
      </c>
      <c r="G134" s="5">
        <v>0.06</v>
      </c>
      <c r="H134">
        <f>표1[단가]*표1[수량]*(1-표1[할인율])</f>
        <v>197400</v>
      </c>
    </row>
    <row r="135" spans="2:8">
      <c r="B135" s="6">
        <v>43118</v>
      </c>
      <c r="C135" t="s">
        <v>3</v>
      </c>
      <c r="D135" s="2" t="s">
        <v>27</v>
      </c>
      <c r="E135" s="4">
        <v>95000</v>
      </c>
      <c r="F135">
        <v>4</v>
      </c>
      <c r="G135" s="5">
        <v>0</v>
      </c>
      <c r="H135">
        <f>표1[단가]*표1[수량]*(1-표1[할인율])</f>
        <v>380000</v>
      </c>
    </row>
    <row r="136" spans="2:8">
      <c r="B136" s="6">
        <v>43118</v>
      </c>
      <c r="C136" t="s">
        <v>7</v>
      </c>
      <c r="D136" s="2" t="s">
        <v>84</v>
      </c>
      <c r="E136" s="4">
        <v>33000</v>
      </c>
      <c r="F136">
        <v>4</v>
      </c>
      <c r="G136" s="5">
        <v>0.05</v>
      </c>
      <c r="H136">
        <f>표1[단가]*표1[수량]*(1-표1[할인율])</f>
        <v>125400</v>
      </c>
    </row>
    <row r="137" spans="2:8">
      <c r="B137" s="6">
        <v>43118</v>
      </c>
      <c r="C137" t="s">
        <v>7</v>
      </c>
      <c r="D137" s="2" t="s">
        <v>44</v>
      </c>
      <c r="E137" s="4">
        <v>25000</v>
      </c>
      <c r="F137">
        <v>1</v>
      </c>
      <c r="G137" s="5">
        <v>0</v>
      </c>
      <c r="H137">
        <f>표1[단가]*표1[수량]*(1-표1[할인율])</f>
        <v>25000</v>
      </c>
    </row>
    <row r="138" spans="2:8">
      <c r="B138" s="6">
        <v>43118</v>
      </c>
      <c r="C138" t="s">
        <v>7</v>
      </c>
      <c r="D138" s="2" t="s">
        <v>71</v>
      </c>
      <c r="E138" s="4">
        <v>33000</v>
      </c>
      <c r="F138">
        <v>2</v>
      </c>
      <c r="G138" s="5">
        <v>0.05</v>
      </c>
      <c r="H138">
        <f>표1[단가]*표1[수량]*(1-표1[할인율])</f>
        <v>62700</v>
      </c>
    </row>
    <row r="139" spans="2:8">
      <c r="B139" s="6">
        <v>43118</v>
      </c>
      <c r="C139" t="s">
        <v>10</v>
      </c>
      <c r="D139" s="2" t="s">
        <v>46</v>
      </c>
      <c r="E139" s="4">
        <v>26000</v>
      </c>
      <c r="F139">
        <v>11</v>
      </c>
      <c r="G139" s="5">
        <v>0.05</v>
      </c>
      <c r="H139">
        <f>표1[단가]*표1[수량]*(1-표1[할인율])</f>
        <v>271700</v>
      </c>
    </row>
    <row r="140" spans="2:8">
      <c r="B140" s="6">
        <v>43118</v>
      </c>
      <c r="C140" t="s">
        <v>0</v>
      </c>
      <c r="D140" s="2" t="s">
        <v>85</v>
      </c>
      <c r="E140" s="4">
        <v>55000</v>
      </c>
      <c r="F140">
        <v>2</v>
      </c>
      <c r="G140" s="5">
        <v>0</v>
      </c>
      <c r="H140">
        <f>표1[단가]*표1[수량]*(1-표1[할인율])</f>
        <v>110000</v>
      </c>
    </row>
    <row r="141" spans="2:8">
      <c r="B141" s="6">
        <v>43119</v>
      </c>
      <c r="C141" t="s">
        <v>3</v>
      </c>
      <c r="D141" s="2" t="s">
        <v>23</v>
      </c>
      <c r="E141" s="4">
        <v>74000</v>
      </c>
      <c r="F141">
        <v>2</v>
      </c>
      <c r="G141" s="5">
        <v>0</v>
      </c>
      <c r="H141">
        <f>표1[단가]*표1[수량]*(1-표1[할인율])</f>
        <v>148000</v>
      </c>
    </row>
    <row r="142" spans="2:8">
      <c r="B142" s="6">
        <v>43119</v>
      </c>
      <c r="C142" t="s">
        <v>5</v>
      </c>
      <c r="D142" s="2" t="s">
        <v>25</v>
      </c>
      <c r="E142" s="4">
        <v>53000</v>
      </c>
      <c r="F142">
        <v>3</v>
      </c>
      <c r="G142" s="5">
        <v>0</v>
      </c>
      <c r="H142">
        <f>표1[단가]*표1[수량]*(1-표1[할인율])</f>
        <v>159000</v>
      </c>
    </row>
    <row r="143" spans="2:8">
      <c r="B143" s="6">
        <v>43119</v>
      </c>
      <c r="C143" t="s">
        <v>3</v>
      </c>
      <c r="D143" s="2" t="s">
        <v>20</v>
      </c>
      <c r="E143" s="4">
        <v>60000</v>
      </c>
      <c r="F143">
        <v>3</v>
      </c>
      <c r="G143" s="5">
        <v>7.0000000000000007E-2</v>
      </c>
      <c r="H143">
        <f>표1[단가]*표1[수량]*(1-표1[할인율])</f>
        <v>167400</v>
      </c>
    </row>
    <row r="144" spans="2:8">
      <c r="B144" s="6">
        <v>43119</v>
      </c>
      <c r="C144" t="s">
        <v>10</v>
      </c>
      <c r="D144" s="2" t="s">
        <v>42</v>
      </c>
      <c r="E144" s="4">
        <v>24000</v>
      </c>
      <c r="F144">
        <v>8</v>
      </c>
      <c r="G144" s="5">
        <v>0.05</v>
      </c>
      <c r="H144">
        <f>표1[단가]*표1[수량]*(1-표1[할인율])</f>
        <v>182400</v>
      </c>
    </row>
    <row r="145" spans="2:8">
      <c r="B145" s="6">
        <v>43120</v>
      </c>
      <c r="C145" t="s">
        <v>0</v>
      </c>
      <c r="D145" s="2" t="s">
        <v>62</v>
      </c>
      <c r="E145" s="4">
        <v>69000</v>
      </c>
      <c r="F145">
        <v>2</v>
      </c>
      <c r="G145" s="5">
        <v>0.04</v>
      </c>
      <c r="H145">
        <f>표1[단가]*표1[수량]*(1-표1[할인율])</f>
        <v>132480</v>
      </c>
    </row>
    <row r="146" spans="2:8">
      <c r="B146" s="6">
        <v>43120</v>
      </c>
      <c r="C146" t="s">
        <v>3</v>
      </c>
      <c r="D146" s="2" t="s">
        <v>80</v>
      </c>
      <c r="E146" s="4">
        <v>60000</v>
      </c>
      <c r="F146">
        <v>6</v>
      </c>
      <c r="G146" s="5">
        <v>7.0000000000000007E-2</v>
      </c>
      <c r="H146">
        <f>표1[단가]*표1[수량]*(1-표1[할인율])</f>
        <v>334800</v>
      </c>
    </row>
    <row r="147" spans="2:8">
      <c r="B147" s="6">
        <v>43120</v>
      </c>
      <c r="C147" t="s">
        <v>7</v>
      </c>
      <c r="D147" s="2" t="s">
        <v>86</v>
      </c>
      <c r="E147" s="4">
        <v>38000</v>
      </c>
      <c r="F147">
        <v>5</v>
      </c>
      <c r="G147" s="5">
        <v>0.05</v>
      </c>
      <c r="H147">
        <f>표1[단가]*표1[수량]*(1-표1[할인율])</f>
        <v>180500</v>
      </c>
    </row>
    <row r="148" spans="2:8">
      <c r="B148" s="6">
        <v>43120</v>
      </c>
      <c r="C148" t="s">
        <v>7</v>
      </c>
      <c r="D148" s="2" t="s">
        <v>12</v>
      </c>
      <c r="E148" s="4">
        <v>65000</v>
      </c>
      <c r="F148">
        <v>6</v>
      </c>
      <c r="G148" s="5">
        <v>0.05</v>
      </c>
      <c r="H148">
        <f>표1[단가]*표1[수량]*(1-표1[할인율])</f>
        <v>370500</v>
      </c>
    </row>
    <row r="149" spans="2:8">
      <c r="B149" s="6">
        <v>43121</v>
      </c>
      <c r="C149" t="s">
        <v>7</v>
      </c>
      <c r="D149" s="2" t="s">
        <v>71</v>
      </c>
      <c r="E149" s="4">
        <v>31000</v>
      </c>
      <c r="F149">
        <v>5</v>
      </c>
      <c r="G149" s="5">
        <v>0</v>
      </c>
      <c r="H149">
        <f>표1[단가]*표1[수량]*(1-표1[할인율])</f>
        <v>155000</v>
      </c>
    </row>
    <row r="150" spans="2:8">
      <c r="B150" s="6">
        <v>43121</v>
      </c>
      <c r="C150" t="s">
        <v>0</v>
      </c>
      <c r="D150" s="2" t="s">
        <v>35</v>
      </c>
      <c r="E150" s="4">
        <v>98000</v>
      </c>
      <c r="F150">
        <v>2</v>
      </c>
      <c r="G150" s="5">
        <v>0.04</v>
      </c>
      <c r="H150">
        <f>표1[단가]*표1[수량]*(1-표1[할인율])</f>
        <v>188160</v>
      </c>
    </row>
    <row r="151" spans="2:8">
      <c r="B151" s="6">
        <v>43121</v>
      </c>
      <c r="C151" t="s">
        <v>7</v>
      </c>
      <c r="D151" s="2" t="s">
        <v>48</v>
      </c>
      <c r="E151" s="4">
        <v>34000</v>
      </c>
      <c r="F151">
        <v>3</v>
      </c>
      <c r="G151" s="5">
        <v>0.05</v>
      </c>
      <c r="H151">
        <f>표1[단가]*표1[수량]*(1-표1[할인율])</f>
        <v>96900</v>
      </c>
    </row>
    <row r="152" spans="2:8">
      <c r="B152" s="6">
        <v>43121</v>
      </c>
      <c r="C152" t="s">
        <v>0</v>
      </c>
      <c r="D152" s="2" t="s">
        <v>72</v>
      </c>
      <c r="E152" s="4">
        <v>35000</v>
      </c>
      <c r="F152">
        <v>3</v>
      </c>
      <c r="G152" s="5">
        <v>0.04</v>
      </c>
      <c r="H152">
        <f>표1[단가]*표1[수량]*(1-표1[할인율])</f>
        <v>100800</v>
      </c>
    </row>
    <row r="153" spans="2:8">
      <c r="B153" s="6">
        <v>43121</v>
      </c>
      <c r="C153" t="s">
        <v>0</v>
      </c>
      <c r="D153" s="2" t="s">
        <v>81</v>
      </c>
      <c r="E153" s="4">
        <v>155000</v>
      </c>
      <c r="F153">
        <v>4</v>
      </c>
      <c r="G153" s="5">
        <v>0</v>
      </c>
      <c r="H153">
        <f>표1[단가]*표1[수량]*(1-표1[할인율])</f>
        <v>620000</v>
      </c>
    </row>
    <row r="154" spans="2:8">
      <c r="B154" s="6">
        <v>43121</v>
      </c>
      <c r="C154" t="s">
        <v>10</v>
      </c>
      <c r="D154" s="2" t="s">
        <v>19</v>
      </c>
      <c r="E154" s="4">
        <v>47000</v>
      </c>
      <c r="F154">
        <v>2</v>
      </c>
      <c r="G154" s="5">
        <v>0.05</v>
      </c>
      <c r="H154">
        <f>표1[단가]*표1[수량]*(1-표1[할인율])</f>
        <v>89300</v>
      </c>
    </row>
    <row r="155" spans="2:8">
      <c r="B155" s="6">
        <v>43122</v>
      </c>
      <c r="C155" t="s">
        <v>10</v>
      </c>
      <c r="D155" s="2" t="s">
        <v>36</v>
      </c>
      <c r="E155" s="4">
        <v>15000</v>
      </c>
      <c r="F155">
        <v>6</v>
      </c>
      <c r="G155" s="5">
        <v>0</v>
      </c>
      <c r="H155">
        <f>표1[단가]*표1[수량]*(1-표1[할인율])</f>
        <v>90000</v>
      </c>
    </row>
    <row r="156" spans="2:8">
      <c r="B156" s="6">
        <v>43122</v>
      </c>
      <c r="C156" t="s">
        <v>7</v>
      </c>
      <c r="D156" s="2" t="s">
        <v>87</v>
      </c>
      <c r="E156" s="4">
        <v>135000</v>
      </c>
      <c r="F156">
        <v>4</v>
      </c>
      <c r="G156" s="5">
        <v>0.05</v>
      </c>
      <c r="H156">
        <f>표1[단가]*표1[수량]*(1-표1[할인율])</f>
        <v>513000</v>
      </c>
    </row>
    <row r="157" spans="2:8">
      <c r="B157" s="6">
        <v>43122</v>
      </c>
      <c r="C157" t="s">
        <v>3</v>
      </c>
      <c r="D157" s="2" t="s">
        <v>59</v>
      </c>
      <c r="E157" s="4">
        <v>40000</v>
      </c>
      <c r="F157">
        <v>3</v>
      </c>
      <c r="G157" s="5">
        <v>0</v>
      </c>
      <c r="H157">
        <f>표1[단가]*표1[수량]*(1-표1[할인율])</f>
        <v>120000</v>
      </c>
    </row>
    <row r="158" spans="2:8">
      <c r="B158" s="6">
        <v>43122</v>
      </c>
      <c r="C158" t="s">
        <v>5</v>
      </c>
      <c r="D158" s="2" t="s">
        <v>88</v>
      </c>
      <c r="E158" s="4">
        <v>35000</v>
      </c>
      <c r="F158">
        <v>6</v>
      </c>
      <c r="G158" s="5">
        <v>0</v>
      </c>
      <c r="H158">
        <f>표1[단가]*표1[수량]*(1-표1[할인율])</f>
        <v>210000</v>
      </c>
    </row>
    <row r="159" spans="2:8">
      <c r="B159" s="6">
        <v>43122</v>
      </c>
      <c r="C159" t="s">
        <v>0</v>
      </c>
      <c r="D159" s="2" t="s">
        <v>89</v>
      </c>
      <c r="E159" s="4">
        <v>56000</v>
      </c>
      <c r="F159">
        <v>1</v>
      </c>
      <c r="G159" s="5">
        <v>0</v>
      </c>
      <c r="H159">
        <f>표1[단가]*표1[수량]*(1-표1[할인율])</f>
        <v>56000</v>
      </c>
    </row>
    <row r="160" spans="2:8">
      <c r="B160" s="6">
        <v>43122</v>
      </c>
      <c r="C160" t="s">
        <v>10</v>
      </c>
      <c r="D160" s="2" t="s">
        <v>30</v>
      </c>
      <c r="E160" s="4">
        <v>41000</v>
      </c>
      <c r="F160">
        <v>5</v>
      </c>
      <c r="G160" s="5">
        <v>0.05</v>
      </c>
      <c r="H160">
        <f>표1[단가]*표1[수량]*(1-표1[할인율])</f>
        <v>194750</v>
      </c>
    </row>
    <row r="161" spans="2:8">
      <c r="B161" s="6">
        <v>43122</v>
      </c>
      <c r="C161" t="s">
        <v>3</v>
      </c>
      <c r="D161" s="2" t="s">
        <v>22</v>
      </c>
      <c r="E161" s="4">
        <v>38000</v>
      </c>
      <c r="F161">
        <v>4</v>
      </c>
      <c r="G161" s="5">
        <v>7.0000000000000007E-2</v>
      </c>
      <c r="H161">
        <f>표1[단가]*표1[수량]*(1-표1[할인율])</f>
        <v>141360</v>
      </c>
    </row>
    <row r="162" spans="2:8">
      <c r="B162" s="6">
        <v>43122</v>
      </c>
      <c r="C162" t="s">
        <v>10</v>
      </c>
      <c r="D162" s="2" t="s">
        <v>90</v>
      </c>
      <c r="E162" s="4">
        <v>28000</v>
      </c>
      <c r="F162">
        <v>4</v>
      </c>
      <c r="G162" s="5">
        <v>0.05</v>
      </c>
      <c r="H162">
        <f>표1[단가]*표1[수량]*(1-표1[할인율])</f>
        <v>106400</v>
      </c>
    </row>
    <row r="163" spans="2:8">
      <c r="B163" s="6">
        <v>43122</v>
      </c>
      <c r="C163" t="s">
        <v>0</v>
      </c>
      <c r="D163" s="2" t="s">
        <v>78</v>
      </c>
      <c r="E163" s="4">
        <v>175000</v>
      </c>
      <c r="F163">
        <v>2</v>
      </c>
      <c r="G163" s="5">
        <v>0.04</v>
      </c>
      <c r="H163">
        <f>표1[단가]*표1[수량]*(1-표1[할인율])</f>
        <v>336000</v>
      </c>
    </row>
    <row r="164" spans="2:8">
      <c r="B164" s="6">
        <v>43122</v>
      </c>
      <c r="C164" t="s">
        <v>3</v>
      </c>
      <c r="D164" s="2" t="s">
        <v>80</v>
      </c>
      <c r="E164" s="4">
        <v>55000</v>
      </c>
      <c r="F164">
        <v>3</v>
      </c>
      <c r="G164" s="5">
        <v>0</v>
      </c>
      <c r="H164">
        <f>표1[단가]*표1[수량]*(1-표1[할인율])</f>
        <v>165000</v>
      </c>
    </row>
    <row r="165" spans="2:8">
      <c r="B165" s="6">
        <v>43122</v>
      </c>
      <c r="C165" t="s">
        <v>5</v>
      </c>
      <c r="D165" s="2" t="s">
        <v>45</v>
      </c>
      <c r="E165" s="4">
        <v>5500</v>
      </c>
      <c r="F165">
        <v>1</v>
      </c>
      <c r="G165" s="5">
        <v>0</v>
      </c>
      <c r="H165">
        <f>표1[단가]*표1[수량]*(1-표1[할인율])</f>
        <v>5500</v>
      </c>
    </row>
    <row r="166" spans="2:8">
      <c r="B166" s="6">
        <v>43122</v>
      </c>
      <c r="C166" t="s">
        <v>7</v>
      </c>
      <c r="D166" s="2" t="s">
        <v>50</v>
      </c>
      <c r="E166" s="4">
        <v>38000</v>
      </c>
      <c r="F166">
        <v>3</v>
      </c>
      <c r="G166" s="5">
        <v>0.05</v>
      </c>
      <c r="H166">
        <f>표1[단가]*표1[수량]*(1-표1[할인율])</f>
        <v>108300</v>
      </c>
    </row>
    <row r="167" spans="2:8">
      <c r="B167" s="6">
        <v>43123</v>
      </c>
      <c r="C167" t="s">
        <v>5</v>
      </c>
      <c r="D167" s="2" t="s">
        <v>91</v>
      </c>
      <c r="E167" s="4">
        <v>39000</v>
      </c>
      <c r="F167">
        <v>3</v>
      </c>
      <c r="G167" s="5">
        <v>0.06</v>
      </c>
      <c r="H167">
        <f>표1[단가]*표1[수량]*(1-표1[할인율])</f>
        <v>109980</v>
      </c>
    </row>
    <row r="168" spans="2:8">
      <c r="B168" s="6">
        <v>43123</v>
      </c>
      <c r="C168" t="s">
        <v>3</v>
      </c>
      <c r="D168" s="2" t="s">
        <v>92</v>
      </c>
      <c r="E168" s="4">
        <v>34000</v>
      </c>
      <c r="F168">
        <v>1</v>
      </c>
      <c r="G168" s="5">
        <v>0</v>
      </c>
      <c r="H168">
        <f>표1[단가]*표1[수량]*(1-표1[할인율])</f>
        <v>34000</v>
      </c>
    </row>
    <row r="169" spans="2:8">
      <c r="B169" s="6">
        <v>43123</v>
      </c>
      <c r="C169" t="s">
        <v>0</v>
      </c>
      <c r="D169" s="2" t="s">
        <v>72</v>
      </c>
      <c r="E169" s="4">
        <v>30000</v>
      </c>
      <c r="F169">
        <v>1</v>
      </c>
      <c r="G169" s="5">
        <v>0</v>
      </c>
      <c r="H169">
        <f>표1[단가]*표1[수량]*(1-표1[할인율])</f>
        <v>30000</v>
      </c>
    </row>
    <row r="170" spans="2:8">
      <c r="B170" s="6">
        <v>43123</v>
      </c>
      <c r="C170" t="s">
        <v>7</v>
      </c>
      <c r="D170" s="2" t="s">
        <v>84</v>
      </c>
      <c r="E170" s="4">
        <v>30000</v>
      </c>
      <c r="F170">
        <v>4</v>
      </c>
      <c r="G170" s="5">
        <v>0</v>
      </c>
      <c r="H170">
        <f>표1[단가]*표1[수량]*(1-표1[할인율])</f>
        <v>120000</v>
      </c>
    </row>
    <row r="171" spans="2:8">
      <c r="B171" s="6">
        <v>43124</v>
      </c>
      <c r="C171" t="s">
        <v>10</v>
      </c>
      <c r="D171" s="2" t="s">
        <v>93</v>
      </c>
      <c r="E171" s="4">
        <v>18000</v>
      </c>
      <c r="F171">
        <v>1</v>
      </c>
      <c r="G171" s="5">
        <v>0</v>
      </c>
      <c r="H171">
        <f>표1[단가]*표1[수량]*(1-표1[할인율])</f>
        <v>18000</v>
      </c>
    </row>
    <row r="172" spans="2:8">
      <c r="B172" s="6">
        <v>43124</v>
      </c>
      <c r="C172" t="s">
        <v>7</v>
      </c>
      <c r="D172" s="2" t="s">
        <v>64</v>
      </c>
      <c r="E172" s="4">
        <v>370000</v>
      </c>
      <c r="F172">
        <v>4</v>
      </c>
      <c r="G172" s="5">
        <v>0</v>
      </c>
      <c r="H172">
        <f>표1[단가]*표1[수량]*(1-표1[할인율])</f>
        <v>1480000</v>
      </c>
    </row>
    <row r="173" spans="2:8">
      <c r="B173" s="6">
        <v>43124</v>
      </c>
      <c r="C173" t="s">
        <v>5</v>
      </c>
      <c r="D173" s="2" t="s">
        <v>67</v>
      </c>
      <c r="E173" s="4">
        <v>41500</v>
      </c>
      <c r="F173">
        <v>1</v>
      </c>
      <c r="G173" s="5">
        <v>0</v>
      </c>
      <c r="H173">
        <f>표1[단가]*표1[수량]*(1-표1[할인율])</f>
        <v>41500</v>
      </c>
    </row>
    <row r="174" spans="2:8">
      <c r="B174" s="6">
        <v>43124</v>
      </c>
      <c r="C174" t="s">
        <v>0</v>
      </c>
      <c r="D174" s="2" t="s">
        <v>81</v>
      </c>
      <c r="E174" s="4">
        <v>170000</v>
      </c>
      <c r="F174">
        <v>4</v>
      </c>
      <c r="G174" s="5">
        <v>0.04</v>
      </c>
      <c r="H174">
        <f>표1[단가]*표1[수량]*(1-표1[할인율])</f>
        <v>652800</v>
      </c>
    </row>
    <row r="175" spans="2:8">
      <c r="B175" s="6">
        <v>43124</v>
      </c>
      <c r="C175" t="s">
        <v>3</v>
      </c>
      <c r="D175" s="2" t="s">
        <v>94</v>
      </c>
      <c r="E175" s="4">
        <v>34000</v>
      </c>
      <c r="F175">
        <v>3</v>
      </c>
      <c r="G175" s="5">
        <v>0</v>
      </c>
      <c r="H175">
        <f>표1[단가]*표1[수량]*(1-표1[할인율])</f>
        <v>102000</v>
      </c>
    </row>
    <row r="176" spans="2:8">
      <c r="B176" s="6">
        <v>43125</v>
      </c>
      <c r="C176" t="s">
        <v>5</v>
      </c>
      <c r="D176" s="2" t="s">
        <v>67</v>
      </c>
      <c r="E176" s="4">
        <v>41500</v>
      </c>
      <c r="F176">
        <v>7</v>
      </c>
      <c r="G176" s="5">
        <v>0</v>
      </c>
      <c r="H176">
        <f>표1[단가]*표1[수량]*(1-표1[할인율])</f>
        <v>290500</v>
      </c>
    </row>
    <row r="177" spans="2:8">
      <c r="B177" s="6">
        <v>43125</v>
      </c>
      <c r="C177" t="s">
        <v>10</v>
      </c>
      <c r="D177" s="2" t="s">
        <v>33</v>
      </c>
      <c r="E177" s="4">
        <v>47000</v>
      </c>
      <c r="F177">
        <v>4</v>
      </c>
      <c r="G177" s="5">
        <v>0</v>
      </c>
      <c r="H177">
        <f>표1[단가]*표1[수량]*(1-표1[할인율])</f>
        <v>188000</v>
      </c>
    </row>
    <row r="178" spans="2:8">
      <c r="B178" s="6">
        <v>43125</v>
      </c>
      <c r="C178" t="s">
        <v>5</v>
      </c>
      <c r="D178" s="2" t="s">
        <v>74</v>
      </c>
      <c r="E178" s="4">
        <v>39500</v>
      </c>
      <c r="F178">
        <v>5</v>
      </c>
      <c r="G178" s="5">
        <v>0</v>
      </c>
      <c r="H178">
        <f>표1[단가]*표1[수량]*(1-표1[할인율])</f>
        <v>197500</v>
      </c>
    </row>
    <row r="179" spans="2:8">
      <c r="B179" s="6">
        <v>43125</v>
      </c>
      <c r="C179" t="s">
        <v>7</v>
      </c>
      <c r="D179" s="2" t="s">
        <v>95</v>
      </c>
      <c r="E179" s="4">
        <v>58000</v>
      </c>
      <c r="F179">
        <v>2</v>
      </c>
      <c r="G179" s="5">
        <v>0.05</v>
      </c>
      <c r="H179">
        <f>표1[단가]*표1[수량]*(1-표1[할인율])</f>
        <v>110200</v>
      </c>
    </row>
    <row r="180" spans="2:8">
      <c r="B180" s="6">
        <v>43125</v>
      </c>
      <c r="C180" t="s">
        <v>10</v>
      </c>
      <c r="D180" s="2" t="s">
        <v>46</v>
      </c>
      <c r="E180" s="4">
        <v>26000</v>
      </c>
      <c r="F180">
        <v>4</v>
      </c>
      <c r="G180" s="5">
        <v>0.05</v>
      </c>
      <c r="H180">
        <f>표1[단가]*표1[수량]*(1-표1[할인율])</f>
        <v>98800</v>
      </c>
    </row>
    <row r="181" spans="2:8">
      <c r="B181" s="6">
        <v>43125</v>
      </c>
      <c r="C181" t="s">
        <v>0</v>
      </c>
      <c r="D181" s="2" t="s">
        <v>65</v>
      </c>
      <c r="E181" s="4">
        <v>70000</v>
      </c>
      <c r="F181">
        <v>1</v>
      </c>
      <c r="G181" s="5">
        <v>0</v>
      </c>
      <c r="H181">
        <f>표1[단가]*표1[수량]*(1-표1[할인율])</f>
        <v>70000</v>
      </c>
    </row>
    <row r="182" spans="2:8">
      <c r="B182" s="6">
        <v>43126</v>
      </c>
      <c r="C182" t="s">
        <v>5</v>
      </c>
      <c r="D182" s="2" t="s">
        <v>45</v>
      </c>
      <c r="E182" s="4">
        <v>6000</v>
      </c>
      <c r="F182">
        <v>3</v>
      </c>
      <c r="G182" s="5">
        <v>0.06</v>
      </c>
      <c r="H182">
        <f>표1[단가]*표1[수량]*(1-표1[할인율])</f>
        <v>16920</v>
      </c>
    </row>
    <row r="183" spans="2:8">
      <c r="B183" s="6">
        <v>43126</v>
      </c>
      <c r="C183" t="s">
        <v>7</v>
      </c>
      <c r="D183" s="2" t="s">
        <v>15</v>
      </c>
      <c r="E183" s="4">
        <v>35000</v>
      </c>
      <c r="F183">
        <v>5</v>
      </c>
      <c r="G183" s="5">
        <v>0.05</v>
      </c>
      <c r="H183">
        <f>표1[단가]*표1[수량]*(1-표1[할인율])</f>
        <v>166250</v>
      </c>
    </row>
    <row r="184" spans="2:8">
      <c r="B184" s="6">
        <v>43126</v>
      </c>
      <c r="C184" t="s">
        <v>10</v>
      </c>
      <c r="D184" s="2" t="s">
        <v>13</v>
      </c>
      <c r="E184" s="4">
        <v>52000</v>
      </c>
      <c r="F184">
        <v>4</v>
      </c>
      <c r="G184" s="5">
        <v>0.05</v>
      </c>
      <c r="H184">
        <f>표1[단가]*표1[수량]*(1-표1[할인율])</f>
        <v>197600</v>
      </c>
    </row>
    <row r="185" spans="2:8">
      <c r="B185" s="6">
        <v>43127</v>
      </c>
      <c r="C185" t="s">
        <v>5</v>
      </c>
      <c r="D185" s="2" t="s">
        <v>45</v>
      </c>
      <c r="E185" s="4">
        <v>6000</v>
      </c>
      <c r="F185">
        <v>6</v>
      </c>
      <c r="G185" s="5">
        <v>0.06</v>
      </c>
      <c r="H185">
        <f>표1[단가]*표1[수량]*(1-표1[할인율])</f>
        <v>33840</v>
      </c>
    </row>
    <row r="186" spans="2:8">
      <c r="B186" s="6">
        <v>43127</v>
      </c>
      <c r="C186" t="s">
        <v>7</v>
      </c>
      <c r="D186" s="2" t="s">
        <v>95</v>
      </c>
      <c r="E186" s="4">
        <v>58000</v>
      </c>
      <c r="F186">
        <v>6</v>
      </c>
      <c r="G186" s="5">
        <v>0.05</v>
      </c>
      <c r="H186">
        <f>표1[단가]*표1[수량]*(1-표1[할인율])</f>
        <v>330600</v>
      </c>
    </row>
    <row r="187" spans="2:8">
      <c r="B187" s="6">
        <v>43127</v>
      </c>
      <c r="C187" t="s">
        <v>3</v>
      </c>
      <c r="D187" s="2" t="s">
        <v>80</v>
      </c>
      <c r="E187" s="4">
        <v>60000</v>
      </c>
      <c r="F187">
        <v>5</v>
      </c>
      <c r="G187" s="5">
        <v>7.0000000000000007E-2</v>
      </c>
      <c r="H187">
        <f>표1[단가]*표1[수량]*(1-표1[할인율])</f>
        <v>279000</v>
      </c>
    </row>
    <row r="188" spans="2:8">
      <c r="B188" s="6">
        <v>43127</v>
      </c>
      <c r="C188" t="s">
        <v>5</v>
      </c>
      <c r="D188" s="2" t="s">
        <v>68</v>
      </c>
      <c r="E188" s="4">
        <v>42000</v>
      </c>
      <c r="F188">
        <v>3</v>
      </c>
      <c r="G188" s="5">
        <v>0.06</v>
      </c>
      <c r="H188">
        <f>표1[단가]*표1[수량]*(1-표1[할인율])</f>
        <v>118440</v>
      </c>
    </row>
    <row r="189" spans="2:8">
      <c r="B189" s="6">
        <v>43127</v>
      </c>
      <c r="C189" t="s">
        <v>3</v>
      </c>
      <c r="D189" s="2" t="s">
        <v>96</v>
      </c>
      <c r="E189" s="4">
        <v>30000</v>
      </c>
      <c r="F189">
        <v>3</v>
      </c>
      <c r="G189" s="5">
        <v>7.0000000000000007E-2</v>
      </c>
      <c r="H189">
        <f>표1[단가]*표1[수량]*(1-표1[할인율])</f>
        <v>83700</v>
      </c>
    </row>
    <row r="190" spans="2:8">
      <c r="B190" s="6">
        <v>43127</v>
      </c>
      <c r="C190" t="s">
        <v>5</v>
      </c>
      <c r="D190" s="2" t="s">
        <v>68</v>
      </c>
      <c r="E190" s="4">
        <v>42000</v>
      </c>
      <c r="F190">
        <v>4</v>
      </c>
      <c r="G190" s="5">
        <v>0.06</v>
      </c>
      <c r="H190">
        <f>표1[단가]*표1[수량]*(1-표1[할인율])</f>
        <v>157920</v>
      </c>
    </row>
    <row r="191" spans="2:8">
      <c r="B191" s="6">
        <v>43128</v>
      </c>
      <c r="C191" t="s">
        <v>3</v>
      </c>
      <c r="D191" s="2" t="s">
        <v>22</v>
      </c>
      <c r="E191" s="4">
        <v>38000</v>
      </c>
      <c r="F191">
        <v>4</v>
      </c>
      <c r="G191" s="5">
        <v>7.0000000000000007E-2</v>
      </c>
      <c r="H191">
        <f>표1[단가]*표1[수량]*(1-표1[할인율])</f>
        <v>141360</v>
      </c>
    </row>
    <row r="192" spans="2:8">
      <c r="B192" s="6">
        <v>43129</v>
      </c>
      <c r="C192" t="s">
        <v>0</v>
      </c>
      <c r="D192" s="2" t="s">
        <v>97</v>
      </c>
      <c r="E192" s="4">
        <v>46000</v>
      </c>
      <c r="F192">
        <v>7</v>
      </c>
      <c r="G192" s="5">
        <v>0</v>
      </c>
      <c r="H192">
        <f>표1[단가]*표1[수량]*(1-표1[할인율])</f>
        <v>322000</v>
      </c>
    </row>
    <row r="193" spans="2:8">
      <c r="B193" s="6">
        <v>43129</v>
      </c>
      <c r="C193" t="s">
        <v>10</v>
      </c>
      <c r="D193" s="2" t="s">
        <v>13</v>
      </c>
      <c r="E193" s="4">
        <v>52000</v>
      </c>
      <c r="F193">
        <v>4</v>
      </c>
      <c r="G193" s="5">
        <v>0.05</v>
      </c>
      <c r="H193">
        <f>표1[단가]*표1[수량]*(1-표1[할인율])</f>
        <v>197600</v>
      </c>
    </row>
    <row r="194" spans="2:8">
      <c r="B194" s="6">
        <v>43129</v>
      </c>
      <c r="C194" t="s">
        <v>7</v>
      </c>
      <c r="D194" s="2" t="s">
        <v>38</v>
      </c>
      <c r="E194" s="4">
        <v>270000</v>
      </c>
      <c r="F194">
        <v>3</v>
      </c>
      <c r="G194" s="5">
        <v>0.05</v>
      </c>
      <c r="H194">
        <f>표1[단가]*표1[수량]*(1-표1[할인율])</f>
        <v>769500</v>
      </c>
    </row>
    <row r="195" spans="2:8">
      <c r="B195" s="6">
        <v>43129</v>
      </c>
      <c r="C195" t="s">
        <v>5</v>
      </c>
      <c r="D195" s="2" t="s">
        <v>68</v>
      </c>
      <c r="E195" s="4">
        <v>42000</v>
      </c>
      <c r="F195">
        <v>4</v>
      </c>
      <c r="G195" s="5">
        <v>0.06</v>
      </c>
      <c r="H195">
        <f>표1[단가]*표1[수량]*(1-표1[할인율])</f>
        <v>157920</v>
      </c>
    </row>
    <row r="196" spans="2:8">
      <c r="B196" s="6">
        <v>43129</v>
      </c>
      <c r="C196" t="s">
        <v>0</v>
      </c>
      <c r="D196" s="2" t="s">
        <v>32</v>
      </c>
      <c r="E196" s="4">
        <v>89000</v>
      </c>
      <c r="F196">
        <v>3</v>
      </c>
      <c r="G196" s="5">
        <v>0.04</v>
      </c>
      <c r="H196">
        <f>표1[단가]*표1[수량]*(1-표1[할인율])</f>
        <v>256320</v>
      </c>
    </row>
    <row r="197" spans="2:8">
      <c r="B197" s="6">
        <v>43130</v>
      </c>
      <c r="C197" t="s">
        <v>3</v>
      </c>
      <c r="D197" s="2" t="s">
        <v>16</v>
      </c>
      <c r="E197" s="4">
        <v>55000</v>
      </c>
      <c r="F197">
        <v>2</v>
      </c>
      <c r="G197" s="5">
        <v>7.0000000000000007E-2</v>
      </c>
      <c r="H197">
        <f>표1[단가]*표1[수량]*(1-표1[할인율])</f>
        <v>102300</v>
      </c>
    </row>
    <row r="198" spans="2:8">
      <c r="B198" s="6">
        <v>43130</v>
      </c>
      <c r="C198" t="s">
        <v>3</v>
      </c>
      <c r="D198" s="2" t="s">
        <v>59</v>
      </c>
      <c r="E198" s="4">
        <v>45000</v>
      </c>
      <c r="F198">
        <v>3</v>
      </c>
      <c r="G198" s="5">
        <v>7.0000000000000007E-2</v>
      </c>
      <c r="H198">
        <f>표1[단가]*표1[수량]*(1-표1[할인율])</f>
        <v>125549.99999999999</v>
      </c>
    </row>
    <row r="199" spans="2:8">
      <c r="B199" s="6">
        <v>43131</v>
      </c>
      <c r="C199" t="s">
        <v>7</v>
      </c>
      <c r="D199" s="2" t="s">
        <v>21</v>
      </c>
      <c r="E199" s="4">
        <v>90000</v>
      </c>
      <c r="F199">
        <v>5</v>
      </c>
      <c r="G199" s="5">
        <v>0</v>
      </c>
      <c r="H199">
        <f>표1[단가]*표1[수량]*(1-표1[할인율])</f>
        <v>450000</v>
      </c>
    </row>
    <row r="200" spans="2:8">
      <c r="B200" s="6">
        <v>43131</v>
      </c>
      <c r="C200" t="s">
        <v>0</v>
      </c>
      <c r="D200" s="2" t="s">
        <v>2</v>
      </c>
      <c r="E200" s="4">
        <v>89000</v>
      </c>
      <c r="F200">
        <v>5</v>
      </c>
      <c r="G200" s="5">
        <v>0</v>
      </c>
      <c r="H200">
        <f>표1[단가]*표1[수량]*(1-표1[할인율])</f>
        <v>445000</v>
      </c>
    </row>
    <row r="201" spans="2:8">
      <c r="B201" s="6">
        <v>43131</v>
      </c>
      <c r="C201" t="s">
        <v>10</v>
      </c>
      <c r="D201" s="2" t="s">
        <v>98</v>
      </c>
      <c r="E201" s="4">
        <v>40000</v>
      </c>
      <c r="F201">
        <v>3</v>
      </c>
      <c r="G201" s="5">
        <v>0</v>
      </c>
      <c r="H201">
        <f>표1[단가]*표1[수량]*(1-표1[할인율])</f>
        <v>120000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F12"/>
  <sheetViews>
    <sheetView workbookViewId="0">
      <selection activeCell="C8" sqref="C8"/>
    </sheetView>
  </sheetViews>
  <sheetFormatPr defaultRowHeight="16.5"/>
  <cols>
    <col min="2" max="6" width="13.625" customWidth="1"/>
  </cols>
  <sheetData>
    <row r="2" spans="2:6" ht="26.25">
      <c r="B2" s="18" t="s">
        <v>111</v>
      </c>
      <c r="C2" s="18"/>
      <c r="D2" s="18"/>
      <c r="E2" s="18"/>
      <c r="F2" s="18"/>
    </row>
    <row r="4" spans="2:6">
      <c r="B4" s="9"/>
      <c r="C4" s="9"/>
      <c r="D4" s="9"/>
      <c r="E4" s="10" t="s">
        <v>108</v>
      </c>
      <c r="F4" s="11">
        <f>[1]영업계획!$F$4</f>
        <v>0.1</v>
      </c>
    </row>
    <row r="5" spans="2:6">
      <c r="B5" s="9"/>
      <c r="C5" s="9"/>
      <c r="D5" s="9"/>
      <c r="E5" s="9"/>
      <c r="F5" s="9"/>
    </row>
    <row r="6" spans="2:6">
      <c r="B6" s="10" t="s">
        <v>117</v>
      </c>
      <c r="C6" s="10" t="s">
        <v>118</v>
      </c>
      <c r="D6" s="10" t="s">
        <v>119</v>
      </c>
      <c r="E6" s="10" t="s">
        <v>109</v>
      </c>
      <c r="F6" s="10" t="s">
        <v>120</v>
      </c>
    </row>
    <row r="7" spans="2:6">
      <c r="B7" s="14" t="s">
        <v>112</v>
      </c>
      <c r="C7" s="15">
        <f>[1]영업계획!D7</f>
        <v>772200</v>
      </c>
      <c r="D7" s="15">
        <v>1020200</v>
      </c>
      <c r="E7" s="16">
        <f t="shared" ref="E7:E11" si="0">D7/C7</f>
        <v>1.3211603211603211</v>
      </c>
      <c r="F7" s="15">
        <f>D7*$F$4+D7</f>
        <v>1122220</v>
      </c>
    </row>
    <row r="8" spans="2:6">
      <c r="B8" s="14" t="s">
        <v>113</v>
      </c>
      <c r="C8" s="15">
        <f>[1]영업계획!D8</f>
        <v>628650</v>
      </c>
      <c r="D8" s="15">
        <v>597360</v>
      </c>
      <c r="E8" s="16">
        <f t="shared" si="0"/>
        <v>0.95022667621092816</v>
      </c>
      <c r="F8" s="15">
        <f t="shared" ref="F8:F11" si="1">D8*$F$4+D8</f>
        <v>657096</v>
      </c>
    </row>
    <row r="9" spans="2:6">
      <c r="B9" s="14" t="s">
        <v>114</v>
      </c>
      <c r="C9" s="15">
        <f>[1]영업계획!D9</f>
        <v>1527695</v>
      </c>
      <c r="D9" s="15">
        <v>1274600</v>
      </c>
      <c r="E9" s="16">
        <f t="shared" si="0"/>
        <v>0.83432884181724754</v>
      </c>
      <c r="F9" s="15">
        <f t="shared" si="1"/>
        <v>1402060</v>
      </c>
    </row>
    <row r="10" spans="2:6">
      <c r="B10" s="14" t="s">
        <v>115</v>
      </c>
      <c r="C10" s="15">
        <f>[1]영업계획!D10</f>
        <v>4498750</v>
      </c>
      <c r="D10" s="15">
        <v>6264500</v>
      </c>
      <c r="E10" s="16">
        <f>D10/C10</f>
        <v>1.3924979160878022</v>
      </c>
      <c r="F10" s="15">
        <f t="shared" si="1"/>
        <v>6890950</v>
      </c>
    </row>
    <row r="11" spans="2:6">
      <c r="B11" s="14" t="s">
        <v>116</v>
      </c>
      <c r="C11" s="15">
        <f>[1]영업계획!D11</f>
        <v>6667100</v>
      </c>
      <c r="D11" s="15">
        <v>8942000</v>
      </c>
      <c r="E11" s="16">
        <f t="shared" si="0"/>
        <v>1.3412128211666241</v>
      </c>
      <c r="F11" s="15">
        <f t="shared" si="1"/>
        <v>9836200</v>
      </c>
    </row>
    <row r="12" spans="2:6">
      <c r="B12" s="10" t="s">
        <v>110</v>
      </c>
      <c r="C12" s="12">
        <f>SUM(C7:C11)</f>
        <v>14094395</v>
      </c>
      <c r="D12" s="12">
        <f>SUM(D7:D11)</f>
        <v>18098660</v>
      </c>
      <c r="E12" s="13">
        <f>SUM(E7:E11)</f>
        <v>5.8394265764429232</v>
      </c>
      <c r="F12" s="12">
        <f>SUM(F7:F11)</f>
        <v>19908526</v>
      </c>
    </row>
  </sheetData>
  <mergeCells count="1">
    <mergeCell ref="B2:F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판매현황</vt:lpstr>
      <vt:lpstr>영업계획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이승희</dc:creator>
  <cp:lastModifiedBy>이승희</cp:lastModifiedBy>
  <dcterms:created xsi:type="dcterms:W3CDTF">2017-07-04T10:38:41Z</dcterms:created>
  <dcterms:modified xsi:type="dcterms:W3CDTF">2017-07-04T15:49:54Z</dcterms:modified>
</cp:coreProperties>
</file>