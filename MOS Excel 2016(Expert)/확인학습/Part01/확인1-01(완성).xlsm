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MOS Excel 2016\확인학습\01장\"/>
    </mc:Choice>
  </mc:AlternateContent>
  <bookViews>
    <workbookView xWindow="0" yWindow="0" windowWidth="15360" windowHeight="9165"/>
  </bookViews>
  <sheets>
    <sheet name="실적분석" sheetId="3" r:id="rId1"/>
    <sheet name="매상실적" sheetId="1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" l="1"/>
  <c r="K5" i="1"/>
  <c r="C6" i="3"/>
  <c r="C5" i="3"/>
  <c r="C4" i="3"/>
  <c r="J20" i="1" l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K7" i="1" s="1"/>
  <c r="J6" i="1"/>
  <c r="J5" i="1"/>
  <c r="K11" i="1" l="1"/>
  <c r="K15" i="1"/>
  <c r="K19" i="1"/>
  <c r="K8" i="1"/>
  <c r="K12" i="1"/>
  <c r="K16" i="1"/>
  <c r="K20" i="1"/>
  <c r="K9" i="1"/>
  <c r="K13" i="1"/>
  <c r="K17" i="1"/>
  <c r="K6" i="1"/>
  <c r="K10" i="1"/>
  <c r="K14" i="1"/>
  <c r="K18" i="1"/>
</calcChain>
</file>

<file path=xl/sharedStrings.xml><?xml version="1.0" encoding="utf-8"?>
<sst xmlns="http://schemas.openxmlformats.org/spreadsheetml/2006/main" count="48" uniqueCount="47">
  <si>
    <t>제품번호</t>
    <phoneticPr fontId="3" type="noConversion"/>
  </si>
  <si>
    <t>제품명</t>
    <phoneticPr fontId="3" type="noConversion"/>
  </si>
  <si>
    <t>1월</t>
  </si>
  <si>
    <t>2월</t>
  </si>
  <si>
    <t>3월</t>
  </si>
  <si>
    <t>4월</t>
  </si>
  <si>
    <t>5월</t>
  </si>
  <si>
    <t>6월</t>
  </si>
  <si>
    <t>합계</t>
  </si>
  <si>
    <t>AROUT</t>
  </si>
  <si>
    <t>대일 포장 치즈</t>
  </si>
  <si>
    <t>ERNSH</t>
  </si>
  <si>
    <t>보스톤산 게살 통조림</t>
  </si>
  <si>
    <t>FURIB</t>
  </si>
  <si>
    <t>알파인 맥주</t>
  </si>
  <si>
    <t>QUEEN</t>
  </si>
  <si>
    <t>앨리스 포장육</t>
  </si>
  <si>
    <t>BERGS</t>
  </si>
  <si>
    <t>우미 코코넛 쿠키</t>
  </si>
  <si>
    <t>GREAL</t>
  </si>
  <si>
    <t>유미 멸치 가루</t>
  </si>
  <si>
    <t>HANAR</t>
  </si>
  <si>
    <t>진미 트로피컬 캔디</t>
  </si>
  <si>
    <t>MEREP</t>
  </si>
  <si>
    <t>콜롬비아산 원두커피</t>
  </si>
  <si>
    <t>QUICK</t>
  </si>
  <si>
    <t>태일 라이트 맥주</t>
  </si>
  <si>
    <t>RATTC</t>
  </si>
  <si>
    <t>파스 페이스 티</t>
  </si>
  <si>
    <t>SIMOB</t>
  </si>
  <si>
    <t>한라 멜론 아이스크림</t>
  </si>
  <si>
    <t>THEBI</t>
  </si>
  <si>
    <t>한성 통밀가루</t>
  </si>
  <si>
    <t>TORTU</t>
  </si>
  <si>
    <t>현진 커피 밀크</t>
  </si>
  <si>
    <t>HUNGO</t>
  </si>
  <si>
    <t>태일 적포도주</t>
  </si>
  <si>
    <t>LINOD</t>
  </si>
  <si>
    <t>훈제 대합조개 통조림</t>
  </si>
  <si>
    <t>OLDWO</t>
  </si>
  <si>
    <t>매상실적</t>
    <phoneticPr fontId="3" type="noConversion"/>
  </si>
  <si>
    <t>달성률</t>
    <phoneticPr fontId="3" type="noConversion"/>
  </si>
  <si>
    <t>목표 합계</t>
    <phoneticPr fontId="3" type="noConversion"/>
  </si>
  <si>
    <t>실적 합계</t>
    <phoneticPr fontId="3" type="noConversion"/>
  </si>
  <si>
    <t>2017년 목표 대비 실적 분석</t>
    <phoneticPr fontId="3" type="noConversion"/>
  </si>
  <si>
    <t>합계 중의 최대 값</t>
    <phoneticPr fontId="3" type="noConversion"/>
  </si>
  <si>
    <t>구성비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</si>
</sst>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#,##0_ "/>
    <numFmt numFmtId="177" formatCode="&quot;₩&quot;#,##0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color rgb="FF0070C0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41" fontId="0" fillId="0" borderId="2" xfId="1" applyFont="1" applyBorder="1">
      <alignment vertical="center"/>
    </xf>
    <xf numFmtId="0" fontId="0" fillId="0" borderId="3" xfId="0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distributed" vertical="center" justifyLastLine="1"/>
    </xf>
    <xf numFmtId="0" fontId="4" fillId="2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41" fontId="0" fillId="0" borderId="6" xfId="1" applyFont="1" applyBorder="1">
      <alignment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7" xfId="0" applyFont="1" applyBorder="1" applyAlignment="1">
      <alignment horizontal="distributed" vertical="center" indent="2"/>
    </xf>
    <xf numFmtId="0" fontId="6" fillId="0" borderId="8" xfId="0" applyFont="1" applyBorder="1" applyAlignment="1">
      <alignment horizontal="distributed" vertical="center" indent="2"/>
    </xf>
    <xf numFmtId="176" fontId="6" fillId="0" borderId="7" xfId="0" applyNumberFormat="1" applyFont="1" applyBorder="1" applyAlignment="1">
      <alignment horizontal="distributed" vertical="center" indent="2"/>
    </xf>
    <xf numFmtId="176" fontId="6" fillId="0" borderId="8" xfId="0" applyNumberFormat="1" applyFont="1" applyBorder="1" applyAlignment="1">
      <alignment horizontal="distributed" vertical="center" indent="2"/>
    </xf>
    <xf numFmtId="9" fontId="6" fillId="0" borderId="8" xfId="2" applyFont="1" applyBorder="1" applyAlignment="1">
      <alignment horizontal="distributed" vertical="center" indent="2"/>
    </xf>
    <xf numFmtId="0" fontId="6" fillId="0" borderId="0" xfId="0" applyFont="1">
      <alignment vertical="center"/>
    </xf>
    <xf numFmtId="177" fontId="7" fillId="0" borderId="0" xfId="0" applyNumberFormat="1" applyFont="1">
      <alignment vertical="center"/>
    </xf>
    <xf numFmtId="0" fontId="4" fillId="2" borderId="9" xfId="0" applyFont="1" applyFill="1" applyBorder="1" applyAlignment="1">
      <alignment horizontal="center" vertical="center"/>
    </xf>
    <xf numFmtId="9" fontId="0" fillId="0" borderId="10" xfId="2" applyFont="1" applyFill="1" applyBorder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3" formatCode="0%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47785;&#54364;&#49892;&#51201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목표실적"/>
    </sheetNames>
    <sheetDataSet>
      <sheetData sheetId="0">
        <row r="4">
          <cell r="C4">
            <v>1365000</v>
          </cell>
          <cell r="F4">
            <v>0.78095238095238095</v>
          </cell>
        </row>
        <row r="5">
          <cell r="C5">
            <v>1066000</v>
          </cell>
        </row>
      </sheetData>
    </sheetDataSet>
  </externalBook>
</externalLink>
</file>

<file path=xl/tables/table1.xml><?xml version="1.0" encoding="utf-8"?>
<table xmlns="http://schemas.openxmlformats.org/spreadsheetml/2006/main" id="1" name="매상실적" displayName="매상실적" ref="B4:K20" totalsRowShown="0" headerRowDxfId="1" dataDxfId="14" headerRowBorderDxfId="12" tableBorderDxfId="13" totalsRowBorderDxfId="11" dataCellStyle="쉼표 [0]">
  <autoFilter ref="B4:K20"/>
  <tableColumns count="10">
    <tableColumn id="1" name="제품번호" dataDxfId="10"/>
    <tableColumn id="2" name="제품명" dataDxfId="9"/>
    <tableColumn id="3" name="1월" dataDxfId="8" dataCellStyle="쉼표 [0]"/>
    <tableColumn id="4" name="2월" dataDxfId="7" dataCellStyle="쉼표 [0]"/>
    <tableColumn id="5" name="3월" dataDxfId="6" dataCellStyle="쉼표 [0]"/>
    <tableColumn id="6" name="4월" dataDxfId="5" dataCellStyle="쉼표 [0]"/>
    <tableColumn id="7" name="5월" dataDxfId="4" dataCellStyle="쉼표 [0]"/>
    <tableColumn id="8" name="6월" dataDxfId="3" dataCellStyle="쉼표 [0]"/>
    <tableColumn id="9" name="합계" dataDxfId="2" dataCellStyle="쉼표 [0]">
      <calculatedColumnFormula>SUM(D5:I5)</calculatedColumnFormula>
    </tableColumn>
    <tableColumn id="10" name="구성비" dataDxfId="0" dataCellStyle="쉼표 [0]">
      <calculatedColumnFormula>매상실적[합계]/SUM(매상실적[합계])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6"/>
  <sheetViews>
    <sheetView tabSelected="1" workbookViewId="0"/>
  </sheetViews>
  <sheetFormatPr defaultRowHeight="16.5" x14ac:dyDescent="0.3"/>
  <cols>
    <col min="1" max="1" width="2.625" customWidth="1"/>
    <col min="2" max="3" width="18" customWidth="1"/>
  </cols>
  <sheetData>
    <row r="2" spans="2:4" ht="30" customHeight="1" x14ac:dyDescent="0.3">
      <c r="B2" s="12" t="s">
        <v>44</v>
      </c>
      <c r="C2" s="11"/>
      <c r="D2" s="11"/>
    </row>
    <row r="4" spans="2:4" ht="23.25" customHeight="1" x14ac:dyDescent="0.3">
      <c r="B4" s="13" t="s">
        <v>42</v>
      </c>
      <c r="C4" s="15">
        <f>[1]목표실적!$C$4</f>
        <v>1365000</v>
      </c>
    </row>
    <row r="5" spans="2:4" ht="23.25" customHeight="1" x14ac:dyDescent="0.3">
      <c r="B5" s="14" t="s">
        <v>43</v>
      </c>
      <c r="C5" s="16">
        <f>[1]목표실적!$C$5</f>
        <v>1066000</v>
      </c>
    </row>
    <row r="6" spans="2:4" ht="23.25" customHeight="1" x14ac:dyDescent="0.3">
      <c r="B6" s="14" t="s">
        <v>41</v>
      </c>
      <c r="C6" s="17">
        <f>[1]목표실적!$F$4</f>
        <v>0.78095238095238095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K20"/>
  <sheetViews>
    <sheetView workbookViewId="0"/>
  </sheetViews>
  <sheetFormatPr defaultRowHeight="16.5" x14ac:dyDescent="0.3"/>
  <cols>
    <col min="1" max="1" width="2.625" customWidth="1"/>
    <col min="2" max="2" width="10.25" customWidth="1"/>
    <col min="3" max="3" width="20.625" bestFit="1" customWidth="1"/>
    <col min="10" max="10" width="9.375" bestFit="1" customWidth="1"/>
  </cols>
  <sheetData>
    <row r="2" spans="2:11" ht="20.25" x14ac:dyDescent="0.3">
      <c r="B2" s="1" t="s">
        <v>40</v>
      </c>
      <c r="H2" s="18" t="s">
        <v>45</v>
      </c>
      <c r="J2" s="19">
        <f>MAX(매상실적[합계])</f>
        <v>18150</v>
      </c>
    </row>
    <row r="4" spans="2:11" x14ac:dyDescent="0.3">
      <c r="B4" s="5" t="s">
        <v>0</v>
      </c>
      <c r="C4" s="6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6" t="s">
        <v>8</v>
      </c>
      <c r="K4" s="20" t="s">
        <v>46</v>
      </c>
    </row>
    <row r="5" spans="2:11" x14ac:dyDescent="0.3">
      <c r="B5" s="4" t="s">
        <v>9</v>
      </c>
      <c r="C5" s="2" t="s">
        <v>10</v>
      </c>
      <c r="D5" s="3">
        <v>1000</v>
      </c>
      <c r="E5" s="3">
        <v>1050</v>
      </c>
      <c r="F5" s="3">
        <v>900</v>
      </c>
      <c r="G5" s="3">
        <v>800</v>
      </c>
      <c r="H5" s="3">
        <v>950</v>
      </c>
      <c r="I5" s="3">
        <v>1250</v>
      </c>
      <c r="J5" s="3">
        <f>SUM(D5:I5)</f>
        <v>5950</v>
      </c>
      <c r="K5" s="21">
        <f>매상실적[합계]/SUM(매상실적[합계])</f>
        <v>4.0683760683760686E-2</v>
      </c>
    </row>
    <row r="6" spans="2:11" x14ac:dyDescent="0.3">
      <c r="B6" s="4" t="s">
        <v>11</v>
      </c>
      <c r="C6" s="2" t="s">
        <v>12</v>
      </c>
      <c r="D6" s="3">
        <v>700</v>
      </c>
      <c r="E6" s="3">
        <v>850</v>
      </c>
      <c r="F6" s="3">
        <v>1000</v>
      </c>
      <c r="G6" s="3">
        <v>900</v>
      </c>
      <c r="H6" s="3">
        <v>700</v>
      </c>
      <c r="I6" s="3">
        <v>850</v>
      </c>
      <c r="J6" s="3">
        <f t="shared" ref="J6:J20" si="0">SUM(D6:I6)</f>
        <v>5000</v>
      </c>
      <c r="K6" s="21">
        <f>매상실적[합계]/SUM(매상실적[합계])</f>
        <v>3.4188034188034191E-2</v>
      </c>
    </row>
    <row r="7" spans="2:11" x14ac:dyDescent="0.3">
      <c r="B7" s="4" t="s">
        <v>13</v>
      </c>
      <c r="C7" s="2" t="s">
        <v>14</v>
      </c>
      <c r="D7" s="3">
        <v>900</v>
      </c>
      <c r="E7" s="3">
        <v>1000</v>
      </c>
      <c r="F7" s="3">
        <v>700</v>
      </c>
      <c r="G7" s="3">
        <v>800</v>
      </c>
      <c r="H7" s="3">
        <v>950</v>
      </c>
      <c r="I7" s="3">
        <v>550</v>
      </c>
      <c r="J7" s="3">
        <f t="shared" si="0"/>
        <v>4900</v>
      </c>
      <c r="K7" s="21">
        <f>매상실적[합계]/SUM(매상실적[합계])</f>
        <v>3.3504273504273506E-2</v>
      </c>
    </row>
    <row r="8" spans="2:11" x14ac:dyDescent="0.3">
      <c r="B8" s="4" t="s">
        <v>15</v>
      </c>
      <c r="C8" s="2" t="s">
        <v>16</v>
      </c>
      <c r="D8" s="3">
        <v>3100</v>
      </c>
      <c r="E8" s="3">
        <v>2850</v>
      </c>
      <c r="F8" s="3">
        <v>2100</v>
      </c>
      <c r="G8" s="3">
        <v>2650</v>
      </c>
      <c r="H8" s="3">
        <v>2950</v>
      </c>
      <c r="I8" s="3">
        <v>2600</v>
      </c>
      <c r="J8" s="3">
        <f t="shared" si="0"/>
        <v>16250</v>
      </c>
      <c r="K8" s="21">
        <f>매상실적[합계]/SUM(매상실적[합계])</f>
        <v>0.1111111111111111</v>
      </c>
    </row>
    <row r="9" spans="2:11" x14ac:dyDescent="0.3">
      <c r="B9" s="4" t="s">
        <v>17</v>
      </c>
      <c r="C9" s="2" t="s">
        <v>18</v>
      </c>
      <c r="D9" s="3">
        <v>2500</v>
      </c>
      <c r="E9" s="3">
        <v>1850</v>
      </c>
      <c r="F9" s="3">
        <v>1900</v>
      </c>
      <c r="G9" s="3">
        <v>2050</v>
      </c>
      <c r="H9" s="3">
        <v>2000</v>
      </c>
      <c r="I9" s="3">
        <v>2300</v>
      </c>
      <c r="J9" s="3">
        <f t="shared" si="0"/>
        <v>12600</v>
      </c>
      <c r="K9" s="21">
        <f>매상실적[합계]/SUM(매상실적[합계])</f>
        <v>8.615384615384615E-2</v>
      </c>
    </row>
    <row r="10" spans="2:11" x14ac:dyDescent="0.3">
      <c r="B10" s="4" t="s">
        <v>19</v>
      </c>
      <c r="C10" s="2" t="s">
        <v>20</v>
      </c>
      <c r="D10" s="3">
        <v>2300</v>
      </c>
      <c r="E10" s="3">
        <v>1950</v>
      </c>
      <c r="F10" s="3">
        <v>2600</v>
      </c>
      <c r="G10" s="3">
        <v>2000</v>
      </c>
      <c r="H10" s="3">
        <v>2350</v>
      </c>
      <c r="I10" s="3">
        <v>2700</v>
      </c>
      <c r="J10" s="3">
        <f t="shared" si="0"/>
        <v>13900</v>
      </c>
      <c r="K10" s="21">
        <f>매상실적[합계]/SUM(매상실적[합계])</f>
        <v>9.5042735042735041E-2</v>
      </c>
    </row>
    <row r="11" spans="2:11" x14ac:dyDescent="0.3">
      <c r="B11" s="4" t="s">
        <v>21</v>
      </c>
      <c r="C11" s="2" t="s">
        <v>22</v>
      </c>
      <c r="D11" s="3">
        <v>1600</v>
      </c>
      <c r="E11" s="3">
        <v>1250</v>
      </c>
      <c r="F11" s="3">
        <v>950</v>
      </c>
      <c r="G11" s="3">
        <v>1450</v>
      </c>
      <c r="H11" s="3">
        <v>1650</v>
      </c>
      <c r="I11" s="3">
        <v>1050</v>
      </c>
      <c r="J11" s="3">
        <f t="shared" si="0"/>
        <v>7950</v>
      </c>
      <c r="K11" s="21">
        <f>매상실적[합계]/SUM(매상실적[합계])</f>
        <v>5.4358974358974362E-2</v>
      </c>
    </row>
    <row r="12" spans="2:11" x14ac:dyDescent="0.3">
      <c r="B12" s="4" t="s">
        <v>23</v>
      </c>
      <c r="C12" s="2" t="s">
        <v>24</v>
      </c>
      <c r="D12" s="3">
        <v>900</v>
      </c>
      <c r="E12" s="3">
        <v>1000</v>
      </c>
      <c r="F12" s="3">
        <v>700</v>
      </c>
      <c r="G12" s="3">
        <v>1150</v>
      </c>
      <c r="H12" s="3">
        <v>1000</v>
      </c>
      <c r="I12" s="3">
        <v>850</v>
      </c>
      <c r="J12" s="3">
        <f t="shared" si="0"/>
        <v>5600</v>
      </c>
      <c r="K12" s="21">
        <f>매상실적[합계]/SUM(매상실적[합계])</f>
        <v>3.8290598290598291E-2</v>
      </c>
    </row>
    <row r="13" spans="2:11" x14ac:dyDescent="0.3">
      <c r="B13" s="4" t="s">
        <v>25</v>
      </c>
      <c r="C13" s="2" t="s">
        <v>26</v>
      </c>
      <c r="D13" s="3">
        <v>1800</v>
      </c>
      <c r="E13" s="3">
        <v>1200</v>
      </c>
      <c r="F13" s="3">
        <v>1050</v>
      </c>
      <c r="G13" s="3">
        <v>1750</v>
      </c>
      <c r="H13" s="3">
        <v>1350</v>
      </c>
      <c r="I13" s="3">
        <v>1750</v>
      </c>
      <c r="J13" s="3">
        <f t="shared" si="0"/>
        <v>8900</v>
      </c>
      <c r="K13" s="21">
        <f>매상실적[합계]/SUM(매상실적[합계])</f>
        <v>6.0854700854700856E-2</v>
      </c>
    </row>
    <row r="14" spans="2:11" x14ac:dyDescent="0.3">
      <c r="B14" s="4" t="s">
        <v>27</v>
      </c>
      <c r="C14" s="2" t="s">
        <v>28</v>
      </c>
      <c r="D14" s="3">
        <v>900</v>
      </c>
      <c r="E14" s="3">
        <v>800</v>
      </c>
      <c r="F14" s="3">
        <v>1200</v>
      </c>
      <c r="G14" s="3">
        <v>1250</v>
      </c>
      <c r="H14" s="3">
        <v>1100</v>
      </c>
      <c r="I14" s="3">
        <v>1000</v>
      </c>
      <c r="J14" s="3">
        <f t="shared" si="0"/>
        <v>6250</v>
      </c>
      <c r="K14" s="21">
        <f>매상실적[합계]/SUM(매상실적[합계])</f>
        <v>4.2735042735042736E-2</v>
      </c>
    </row>
    <row r="15" spans="2:11" x14ac:dyDescent="0.3">
      <c r="B15" s="4" t="s">
        <v>29</v>
      </c>
      <c r="C15" s="2" t="s">
        <v>30</v>
      </c>
      <c r="D15" s="3">
        <v>950</v>
      </c>
      <c r="E15" s="3">
        <v>800</v>
      </c>
      <c r="F15" s="3">
        <v>1100</v>
      </c>
      <c r="G15" s="3">
        <v>750</v>
      </c>
      <c r="H15" s="3">
        <v>900</v>
      </c>
      <c r="I15" s="3">
        <v>750</v>
      </c>
      <c r="J15" s="3">
        <f t="shared" si="0"/>
        <v>5250</v>
      </c>
      <c r="K15" s="21">
        <f>매상실적[합계]/SUM(매상실적[합계])</f>
        <v>3.5897435897435895E-2</v>
      </c>
    </row>
    <row r="16" spans="2:11" x14ac:dyDescent="0.3">
      <c r="B16" s="4" t="s">
        <v>31</v>
      </c>
      <c r="C16" s="2" t="s">
        <v>32</v>
      </c>
      <c r="D16" s="3">
        <v>850</v>
      </c>
      <c r="E16" s="3">
        <v>850</v>
      </c>
      <c r="F16" s="3">
        <v>1000</v>
      </c>
      <c r="G16" s="3">
        <v>950</v>
      </c>
      <c r="H16" s="3">
        <v>850</v>
      </c>
      <c r="I16" s="3">
        <v>850</v>
      </c>
      <c r="J16" s="3">
        <f t="shared" si="0"/>
        <v>5350</v>
      </c>
      <c r="K16" s="21">
        <f>매상실적[합계]/SUM(매상실적[합계])</f>
        <v>3.658119658119658E-2</v>
      </c>
    </row>
    <row r="17" spans="2:11" x14ac:dyDescent="0.3">
      <c r="B17" s="4" t="s">
        <v>33</v>
      </c>
      <c r="C17" s="2" t="s">
        <v>34</v>
      </c>
      <c r="D17" s="3">
        <v>2750</v>
      </c>
      <c r="E17" s="3">
        <v>2950</v>
      </c>
      <c r="F17" s="3">
        <v>3500</v>
      </c>
      <c r="G17" s="3">
        <v>3300</v>
      </c>
      <c r="H17" s="3">
        <v>2700</v>
      </c>
      <c r="I17" s="3">
        <v>2950</v>
      </c>
      <c r="J17" s="3">
        <f t="shared" si="0"/>
        <v>18150</v>
      </c>
      <c r="K17" s="21">
        <f>매상실적[합계]/SUM(매상실적[합계])</f>
        <v>0.12410256410256411</v>
      </c>
    </row>
    <row r="18" spans="2:11" x14ac:dyDescent="0.3">
      <c r="B18" s="4" t="s">
        <v>35</v>
      </c>
      <c r="C18" s="2" t="s">
        <v>36</v>
      </c>
      <c r="D18" s="3">
        <v>2600</v>
      </c>
      <c r="E18" s="3">
        <v>2850</v>
      </c>
      <c r="F18" s="3">
        <v>2800</v>
      </c>
      <c r="G18" s="3">
        <v>2600</v>
      </c>
      <c r="H18" s="3">
        <v>2100</v>
      </c>
      <c r="I18" s="3">
        <v>2100</v>
      </c>
      <c r="J18" s="3">
        <f t="shared" si="0"/>
        <v>15050</v>
      </c>
      <c r="K18" s="21">
        <f>매상실적[합계]/SUM(매상실적[합계])</f>
        <v>0.10290598290598291</v>
      </c>
    </row>
    <row r="19" spans="2:11" x14ac:dyDescent="0.3">
      <c r="B19" s="4" t="s">
        <v>37</v>
      </c>
      <c r="C19" s="2" t="s">
        <v>38</v>
      </c>
      <c r="D19" s="3">
        <v>1400</v>
      </c>
      <c r="E19" s="3">
        <v>1600</v>
      </c>
      <c r="F19" s="3">
        <v>1800</v>
      </c>
      <c r="G19" s="3">
        <v>1700</v>
      </c>
      <c r="H19" s="3">
        <v>1500</v>
      </c>
      <c r="I19" s="3">
        <v>1700</v>
      </c>
      <c r="J19" s="3">
        <f t="shared" si="0"/>
        <v>9700</v>
      </c>
      <c r="K19" s="21">
        <f>매상실적[합계]/SUM(매상실적[합계])</f>
        <v>6.632478632478632E-2</v>
      </c>
    </row>
    <row r="20" spans="2:11" x14ac:dyDescent="0.3">
      <c r="B20" s="8" t="s">
        <v>39</v>
      </c>
      <c r="C20" s="9" t="s">
        <v>10</v>
      </c>
      <c r="D20" s="10">
        <v>800</v>
      </c>
      <c r="E20" s="10">
        <v>1100</v>
      </c>
      <c r="F20" s="10">
        <v>800</v>
      </c>
      <c r="G20" s="10">
        <v>950</v>
      </c>
      <c r="H20" s="10">
        <v>950</v>
      </c>
      <c r="I20" s="10">
        <v>850</v>
      </c>
      <c r="J20" s="10">
        <f t="shared" si="0"/>
        <v>5450</v>
      </c>
      <c r="K20" s="21">
        <f>매상실적[합계]/SUM(매상실적[합계])</f>
        <v>3.7264957264957266E-2</v>
      </c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실적분석</vt:lpstr>
      <vt:lpstr>매상실적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2017-07-05T06:39:03Z</dcterms:created>
  <dcterms:modified xsi:type="dcterms:W3CDTF">2017-07-05T09:28:53Z</dcterms:modified>
</cp:coreProperties>
</file>